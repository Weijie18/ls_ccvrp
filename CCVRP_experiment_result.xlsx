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论文草稿\CCVRP刷算例\COR投稿\[Supplementary Material]A Self-Refining LLM-Driven Accelerated Framework for the Cumulative Capacitated Vehicle Routing Problem\"/>
    </mc:Choice>
  </mc:AlternateContent>
  <xr:revisionPtr revIDLastSave="0" documentId="13_ncr:1_{DAE0DB5A-751B-471A-B308-DE24FC18FD0B}" xr6:coauthVersionLast="47" xr6:coauthVersionMax="47" xr10:uidLastSave="{00000000-0000-0000-0000-000000000000}"/>
  <bookViews>
    <workbookView xWindow="5430" yWindow="4065" windowWidth="25575" windowHeight="152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7" i="1" l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B187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B171" i="1"/>
  <c r="C154" i="1"/>
  <c r="D154" i="1"/>
  <c r="E154" i="1"/>
  <c r="F154" i="1"/>
  <c r="G154" i="1"/>
  <c r="H154" i="1"/>
  <c r="I154" i="1"/>
  <c r="J154" i="1"/>
  <c r="K154" i="1"/>
  <c r="L154" i="1"/>
  <c r="B154" i="1"/>
  <c r="C137" i="1"/>
  <c r="D137" i="1"/>
  <c r="E137" i="1"/>
  <c r="F137" i="1"/>
  <c r="G137" i="1"/>
  <c r="H137" i="1"/>
  <c r="I137" i="1"/>
  <c r="J137" i="1"/>
  <c r="K137" i="1"/>
  <c r="L137" i="1"/>
  <c r="B137" i="1"/>
  <c r="C119" i="1"/>
  <c r="D119" i="1"/>
  <c r="E119" i="1"/>
  <c r="F119" i="1"/>
  <c r="G119" i="1"/>
  <c r="B119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B101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B84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B66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B50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B34" i="1"/>
  <c r="C13" i="1"/>
  <c r="D13" i="1"/>
  <c r="E13" i="1"/>
  <c r="F13" i="1"/>
  <c r="G13" i="1"/>
  <c r="B13" i="1"/>
  <c r="X187" i="1" l="1"/>
  <c r="X101" i="1"/>
  <c r="AC66" i="1"/>
</calcChain>
</file>

<file path=xl/sharedStrings.xml><?xml version="1.0" encoding="utf-8"?>
<sst xmlns="http://schemas.openxmlformats.org/spreadsheetml/2006/main" count="510" uniqueCount="108">
  <si>
    <t>run time</t>
    <phoneticPr fontId="1" type="noConversion"/>
  </si>
  <si>
    <t>Ex1</t>
    <phoneticPr fontId="1" type="noConversion"/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</si>
  <si>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</si>
  <si>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</si>
  <si>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</si>
  <si>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</si>
  <si>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</si>
  <si>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</si>
  <si>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</si>
  <si>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</si>
  <si>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</si>
  <si>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Cumulative time</t>
    <phoneticPr fontId="1" type="noConversion"/>
  </si>
  <si>
    <t>F1</t>
    <phoneticPr fontId="1" type="noConversion"/>
  </si>
  <si>
    <t>F2</t>
  </si>
  <si>
    <t>F3</t>
  </si>
  <si>
    <t>CMT1</t>
    <phoneticPr fontId="1" type="noConversion"/>
  </si>
  <si>
    <t>CMT2</t>
  </si>
  <si>
    <t>CMT3</t>
  </si>
  <si>
    <t>CMT4</t>
  </si>
  <si>
    <t>CMT5</t>
  </si>
  <si>
    <t>CMT11</t>
    <phoneticPr fontId="1" type="noConversion"/>
  </si>
  <si>
    <t>CMT12</t>
    <phoneticPr fontId="1" type="noConversion"/>
  </si>
  <si>
    <t>A-n32-k5</t>
    <phoneticPr fontId="1" type="noConversion"/>
  </si>
  <si>
    <t>A-n33-k5</t>
    <phoneticPr fontId="1" type="noConversion"/>
  </si>
  <si>
    <t>A-n33-k6</t>
    <phoneticPr fontId="1" type="noConversion"/>
  </si>
  <si>
    <t>A-n34-k5</t>
    <phoneticPr fontId="1" type="noConversion"/>
  </si>
  <si>
    <t>A-n36-k5</t>
  </si>
  <si>
    <t>A-n37-k5</t>
  </si>
  <si>
    <t>A-n37-k6</t>
  </si>
  <si>
    <t>A-n38-k5</t>
  </si>
  <si>
    <t>A-n39-k5</t>
  </si>
  <si>
    <t>A-n39-k6</t>
  </si>
  <si>
    <t>A-n44-k6</t>
  </si>
  <si>
    <t>A-n45-k6</t>
  </si>
  <si>
    <t>A-n45-k7</t>
  </si>
  <si>
    <t>A-n46-k7</t>
  </si>
  <si>
    <t>A-n48-k7</t>
  </si>
  <si>
    <t>A-n53-k7</t>
  </si>
  <si>
    <t>A-n54-k7</t>
  </si>
  <si>
    <t>A-n55-k9</t>
  </si>
  <si>
    <t>A-n60-k9</t>
  </si>
  <si>
    <t>A-n61-k9</t>
  </si>
  <si>
    <t>A-n62-k8</t>
  </si>
  <si>
    <t>A-n63-k9</t>
  </si>
  <si>
    <t>A-n63-k10</t>
  </si>
  <si>
    <t>A-n64-k9</t>
  </si>
  <si>
    <t>A-n65-k9</t>
  </si>
  <si>
    <t>A-n69-k9</t>
  </si>
  <si>
    <t>A-n80-k10</t>
  </si>
  <si>
    <t>P-n16-k8</t>
  </si>
  <si>
    <t>P-n19-k2</t>
  </si>
  <si>
    <t>P-n20-k2</t>
  </si>
  <si>
    <t>P-n21-k2</t>
  </si>
  <si>
    <t>P-n22-k8</t>
  </si>
  <si>
    <t>P-n23-k8</t>
  </si>
  <si>
    <t>P-n40-k5</t>
  </si>
  <si>
    <t>P-n45-k5</t>
  </si>
  <si>
    <t>P-n50-k7</t>
  </si>
  <si>
    <t>P-n50-k8</t>
  </si>
  <si>
    <t>P-n50-k10</t>
  </si>
  <si>
    <t>P-n51-k10</t>
  </si>
  <si>
    <t>P-n55-k7</t>
  </si>
  <si>
    <t>P-n55-k8</t>
  </si>
  <si>
    <t>P-n55-k10</t>
  </si>
  <si>
    <t>P-n60-k10</t>
  </si>
  <si>
    <t>P-n60-k15</t>
  </si>
  <si>
    <t>P-n65-k10</t>
  </si>
  <si>
    <t>P-n70-k10</t>
  </si>
  <si>
    <t>P-n76-k4</t>
  </si>
  <si>
    <t>P-n76-k5</t>
  </si>
  <si>
    <t>P-n101-k4</t>
  </si>
  <si>
    <t>M-n101-k10</t>
    <phoneticPr fontId="1" type="noConversion"/>
  </si>
  <si>
    <t>M-n121-k7</t>
    <phoneticPr fontId="1" type="noConversion"/>
  </si>
  <si>
    <t>M-n151-k12</t>
    <phoneticPr fontId="1" type="noConversion"/>
  </si>
  <si>
    <t>E-n22-k4</t>
  </si>
  <si>
    <t>E-n23-k3</t>
  </si>
  <si>
    <t>E-n30-k3</t>
  </si>
  <si>
    <t>E-n33-k4</t>
  </si>
  <si>
    <t>E-n51-k5</t>
  </si>
  <si>
    <t>E-n76-k7</t>
  </si>
  <si>
    <t>E-n76-k8</t>
  </si>
  <si>
    <t>E-n76-k10</t>
  </si>
  <si>
    <t>E-n76-k14</t>
  </si>
  <si>
    <t>E-n101-k8</t>
  </si>
  <si>
    <t>E-n101-k14</t>
  </si>
  <si>
    <t>B-n31-k5</t>
  </si>
  <si>
    <t>B-n34-k5</t>
  </si>
  <si>
    <t>B-n35-k5</t>
  </si>
  <si>
    <t>B-n38-k6</t>
  </si>
  <si>
    <t>B-n39-k5</t>
  </si>
  <si>
    <t>B-n41-k6</t>
  </si>
  <si>
    <t>B-n43-k6</t>
  </si>
  <si>
    <t>B-n44-k7</t>
  </si>
  <si>
    <t>B-n45-k5</t>
  </si>
  <si>
    <t>B-n45-k6</t>
  </si>
  <si>
    <t>B-n50-k7</t>
  </si>
  <si>
    <t>B-n50-k8</t>
  </si>
  <si>
    <t>B-n51-k7</t>
  </si>
  <si>
    <t>B-n52-k7</t>
  </si>
  <si>
    <t>B-n56-k7</t>
  </si>
  <si>
    <t>B-n57-k7</t>
  </si>
  <si>
    <t>B-n57-k9</t>
  </si>
  <si>
    <t>B-n63-k10</t>
  </si>
  <si>
    <t>B-n64-k9</t>
  </si>
  <si>
    <t>B-n66-k9</t>
  </si>
  <si>
    <t>B-n67-k10</t>
  </si>
  <si>
    <t>B-n68-k9</t>
  </si>
  <si>
    <t>Ave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</si>
</sst>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43" fontId="0" fillId="0" borderId="0" xfId="1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20"/>
  <sheetViews>
    <sheetView tabSelected="1" topLeftCell="A70" zoomScale="85" zoomScaleNormal="85" workbookViewId="0">
      <selection activeCell="D208" sqref="D208"/>
    </sheetView>
  </sheetViews>
  <sheetFormatPr defaultRowHeight="14.25" x14ac:dyDescent="0.2"/>
  <cols>
    <col min="2" max="2" width="21.75" customWidth="1"/>
    <col min="3" max="3" width="24" bestFit="1" customWidth="1"/>
    <col min="4" max="4" width="22.875" bestFit="1" customWidth="1"/>
    <col min="6" max="6" width="16.5" bestFit="1" customWidth="1"/>
    <col min="7" max="7" width="12.75" customWidth="1"/>
    <col min="8" max="8" width="16.5" bestFit="1" customWidth="1"/>
    <col min="9" max="9" width="9.125" bestFit="1" customWidth="1"/>
    <col min="10" max="10" width="16.5" bestFit="1" customWidth="1"/>
    <col min="11" max="11" width="12.125" customWidth="1"/>
    <col min="12" max="12" width="16.5" bestFit="1" customWidth="1"/>
    <col min="13" max="13" width="15.875" customWidth="1"/>
    <col min="14" max="14" width="16.5" bestFit="1" customWidth="1"/>
    <col min="16" max="16" width="16.5" bestFit="1" customWidth="1"/>
    <col min="18" max="18" width="19.25" customWidth="1"/>
    <col min="19" max="19" width="11.125" customWidth="1"/>
    <col min="20" max="20" width="21" customWidth="1"/>
    <col min="21" max="21" width="11.25" customWidth="1"/>
    <col min="22" max="22" width="16.5" bestFit="1" customWidth="1"/>
    <col min="24" max="24" width="16.5" bestFit="1" customWidth="1"/>
    <col min="25" max="25" width="10.5" customWidth="1"/>
    <col min="26" max="26" width="16.5" bestFit="1" customWidth="1"/>
    <col min="27" max="27" width="14.25" customWidth="1"/>
    <col min="28" max="28" width="16.5" bestFit="1" customWidth="1"/>
    <col min="30" max="30" width="16.5" bestFit="1" customWidth="1"/>
    <col min="32" max="32" width="16.5" bestFit="1" customWidth="1"/>
    <col min="34" max="34" width="16.5" bestFit="1" customWidth="1"/>
    <col min="36" max="36" width="16.5" bestFit="1" customWidth="1"/>
    <col min="38" max="38" width="16.5" bestFit="1" customWidth="1"/>
    <col min="40" max="40" width="14.875" bestFit="1" customWidth="1"/>
    <col min="42" max="42" width="14.875" bestFit="1" customWidth="1"/>
    <col min="44" max="44" width="14.875" bestFit="1" customWidth="1"/>
    <col min="45" max="45" width="12.75" customWidth="1"/>
    <col min="46" max="46" width="14.875" bestFit="1" customWidth="1"/>
    <col min="47" max="47" width="11.625" customWidth="1"/>
    <col min="48" max="48" width="14.875" bestFit="1" customWidth="1"/>
    <col min="49" max="49" width="12.625" customWidth="1"/>
    <col min="50" max="50" width="14.875" bestFit="1" customWidth="1"/>
    <col min="51" max="51" width="12" customWidth="1"/>
    <col min="52" max="52" width="14.875" bestFit="1" customWidth="1"/>
    <col min="53" max="53" width="13.375" customWidth="1"/>
    <col min="54" max="54" width="16.5" bestFit="1" customWidth="1"/>
    <col min="55" max="55" width="15.125" customWidth="1"/>
    <col min="56" max="56" width="14.875" bestFit="1" customWidth="1"/>
    <col min="57" max="57" width="11.125" customWidth="1"/>
    <col min="58" max="58" width="14.875" bestFit="1" customWidth="1"/>
    <col min="59" max="59" width="11.625" customWidth="1"/>
    <col min="60" max="60" width="14.875" bestFit="1" customWidth="1"/>
    <col min="61" max="61" width="11.625" customWidth="1"/>
    <col min="62" max="62" width="14.875" bestFit="1" customWidth="1"/>
    <col min="63" max="63" width="11.375" customWidth="1"/>
    <col min="64" max="64" width="14.875" bestFit="1" customWidth="1"/>
    <col min="65" max="65" width="8.75" customWidth="1"/>
    <col min="66" max="66" width="16.5" bestFit="1" customWidth="1"/>
    <col min="68" max="68" width="14.875" bestFit="1" customWidth="1"/>
    <col min="70" max="70" width="14.875" bestFit="1" customWidth="1"/>
    <col min="72" max="72" width="14.875" bestFit="1" customWidth="1"/>
    <col min="74" max="74" width="14.875" bestFit="1" customWidth="1"/>
  </cols>
  <sheetData>
    <row r="1" spans="1:7" x14ac:dyDescent="0.2">
      <c r="B1" s="4" t="s">
        <v>12</v>
      </c>
      <c r="C1" s="4"/>
      <c r="D1" s="4" t="s">
        <v>13</v>
      </c>
      <c r="E1" s="4"/>
      <c r="F1" s="4" t="s">
        <v>14</v>
      </c>
      <c r="G1" s="4"/>
    </row>
    <row r="2" spans="1:7" x14ac:dyDescent="0.2">
      <c r="B2" t="s">
        <v>11</v>
      </c>
      <c r="C2" t="s">
        <v>0</v>
      </c>
      <c r="D2" t="s">
        <v>11</v>
      </c>
      <c r="E2" t="s">
        <v>0</v>
      </c>
      <c r="F2" t="s">
        <v>11</v>
      </c>
      <c r="G2" t="s">
        <v>0</v>
      </c>
    </row>
    <row r="3" spans="1:7" x14ac:dyDescent="0.2">
      <c r="A3" t="s">
        <v>1</v>
      </c>
      <c r="B3">
        <v>1842.14</v>
      </c>
      <c r="C3">
        <v>0.18099999999999999</v>
      </c>
      <c r="D3">
        <v>1118.6400000000001</v>
      </c>
      <c r="E3">
        <v>1.861</v>
      </c>
      <c r="F3">
        <v>5624.5</v>
      </c>
      <c r="G3">
        <v>65.396000000000001</v>
      </c>
    </row>
    <row r="4" spans="1:7" x14ac:dyDescent="0.2">
      <c r="A4" t="s">
        <v>2</v>
      </c>
      <c r="B4">
        <v>1842.14</v>
      </c>
      <c r="C4">
        <v>3.5000000000000003E-2</v>
      </c>
      <c r="D4">
        <v>1118.6400000000001</v>
      </c>
      <c r="E4">
        <v>1.972</v>
      </c>
      <c r="F4">
        <v>5626.06</v>
      </c>
      <c r="G4">
        <v>111.879</v>
      </c>
    </row>
    <row r="5" spans="1:7" x14ac:dyDescent="0.2">
      <c r="A5" t="s">
        <v>3</v>
      </c>
      <c r="B5">
        <v>1842.14</v>
      </c>
      <c r="C5">
        <v>0.626</v>
      </c>
      <c r="D5">
        <v>1118.6400000000001</v>
      </c>
      <c r="E5">
        <v>1.383</v>
      </c>
      <c r="F5">
        <v>5636.75</v>
      </c>
      <c r="G5">
        <v>61.061</v>
      </c>
    </row>
    <row r="6" spans="1:7" x14ac:dyDescent="0.2">
      <c r="A6" t="s">
        <v>4</v>
      </c>
      <c r="B6">
        <v>1842.14</v>
      </c>
      <c r="C6">
        <v>0.5</v>
      </c>
      <c r="D6">
        <v>1118.6400000000001</v>
      </c>
      <c r="E6">
        <v>1.772</v>
      </c>
      <c r="F6">
        <v>5637.27</v>
      </c>
      <c r="G6">
        <v>85.962999999999994</v>
      </c>
    </row>
    <row r="7" spans="1:7" x14ac:dyDescent="0.2">
      <c r="A7" t="s">
        <v>5</v>
      </c>
      <c r="B7">
        <v>1842.14</v>
      </c>
      <c r="C7">
        <v>0.20799999999999999</v>
      </c>
      <c r="D7">
        <v>1118.6400000000001</v>
      </c>
      <c r="E7">
        <v>0.17199999999999999</v>
      </c>
      <c r="F7">
        <v>5624.62</v>
      </c>
      <c r="G7">
        <v>414.65899999999999</v>
      </c>
    </row>
    <row r="8" spans="1:7" x14ac:dyDescent="0.2">
      <c r="A8" t="s">
        <v>6</v>
      </c>
      <c r="B8">
        <v>1842.14</v>
      </c>
      <c r="C8">
        <v>0.51700000000000002</v>
      </c>
      <c r="D8">
        <v>1118.6400000000001</v>
      </c>
      <c r="E8">
        <v>1.8160000000000001</v>
      </c>
      <c r="F8">
        <v>5624.5</v>
      </c>
      <c r="G8">
        <v>68.393000000000001</v>
      </c>
    </row>
    <row r="9" spans="1:7" x14ac:dyDescent="0.2">
      <c r="A9" t="s">
        <v>7</v>
      </c>
      <c r="B9">
        <v>1842.14</v>
      </c>
      <c r="C9">
        <v>9.7000000000000003E-2</v>
      </c>
      <c r="D9">
        <v>1118.6400000000001</v>
      </c>
      <c r="E9">
        <v>1.9650000000000001</v>
      </c>
      <c r="F9">
        <v>5624.5</v>
      </c>
      <c r="G9">
        <v>391.32900000000001</v>
      </c>
    </row>
    <row r="10" spans="1:7" x14ac:dyDescent="0.2">
      <c r="A10" t="s">
        <v>8</v>
      </c>
      <c r="B10">
        <v>1842.14</v>
      </c>
      <c r="C10">
        <v>0.13300000000000001</v>
      </c>
      <c r="D10">
        <v>1118.6400000000001</v>
      </c>
      <c r="E10">
        <v>1.762</v>
      </c>
      <c r="F10">
        <v>5636.75</v>
      </c>
      <c r="G10">
        <v>329.26499999999999</v>
      </c>
    </row>
    <row r="11" spans="1:7" x14ac:dyDescent="0.2">
      <c r="A11" t="s">
        <v>9</v>
      </c>
      <c r="B11">
        <v>1842.14</v>
      </c>
      <c r="C11">
        <v>0.54900000000000004</v>
      </c>
      <c r="D11">
        <v>1118.6400000000001</v>
      </c>
      <c r="E11">
        <v>0.97799999999999998</v>
      </c>
      <c r="F11">
        <v>5624.5</v>
      </c>
      <c r="G11">
        <v>35.688000000000002</v>
      </c>
    </row>
    <row r="12" spans="1:7" x14ac:dyDescent="0.2">
      <c r="A12" t="s">
        <v>10</v>
      </c>
      <c r="B12">
        <v>1842.14</v>
      </c>
      <c r="C12">
        <v>0.27700000000000002</v>
      </c>
      <c r="D12">
        <v>1118.6400000000001</v>
      </c>
      <c r="E12">
        <v>1.7769999999999999</v>
      </c>
      <c r="F12">
        <v>5624.5</v>
      </c>
      <c r="G12">
        <v>293.16199999999998</v>
      </c>
    </row>
    <row r="13" spans="1:7" x14ac:dyDescent="0.2">
      <c r="A13" t="s">
        <v>107</v>
      </c>
      <c r="B13" s="1">
        <f>AVERAGE(B3:B12)</f>
        <v>1842.1399999999999</v>
      </c>
      <c r="C13" s="1">
        <f t="shared" ref="C13:G13" si="0">AVERAGE(C3:C12)</f>
        <v>0.31230000000000002</v>
      </c>
      <c r="D13" s="1">
        <f t="shared" si="0"/>
        <v>1118.6399999999999</v>
      </c>
      <c r="E13" s="1">
        <f t="shared" si="0"/>
        <v>1.5458000000000001</v>
      </c>
      <c r="F13" s="1">
        <f t="shared" si="0"/>
        <v>5628.3949999999995</v>
      </c>
      <c r="G13" s="1">
        <f t="shared" si="0"/>
        <v>185.67950000000002</v>
      </c>
    </row>
    <row r="22" spans="1:15" x14ac:dyDescent="0.2">
      <c r="B22" s="4" t="s">
        <v>15</v>
      </c>
      <c r="C22" s="4"/>
      <c r="D22" s="4" t="s">
        <v>16</v>
      </c>
      <c r="E22" s="4"/>
      <c r="F22" s="4" t="s">
        <v>17</v>
      </c>
      <c r="G22" s="4"/>
      <c r="H22" s="4" t="s">
        <v>18</v>
      </c>
      <c r="I22" s="4"/>
      <c r="J22" s="4" t="s">
        <v>19</v>
      </c>
      <c r="K22" s="4"/>
      <c r="L22" s="4" t="s">
        <v>20</v>
      </c>
      <c r="M22" s="4"/>
      <c r="N22" s="4" t="s">
        <v>21</v>
      </c>
      <c r="O22" s="4"/>
    </row>
    <row r="23" spans="1:15" x14ac:dyDescent="0.2">
      <c r="B23" t="s">
        <v>11</v>
      </c>
      <c r="C23" t="s">
        <v>0</v>
      </c>
      <c r="D23" t="s">
        <v>11</v>
      </c>
      <c r="E23" t="s">
        <v>0</v>
      </c>
      <c r="F23" t="s">
        <v>11</v>
      </c>
      <c r="G23" t="s">
        <v>0</v>
      </c>
      <c r="H23" t="s">
        <v>11</v>
      </c>
      <c r="I23" t="s">
        <v>0</v>
      </c>
      <c r="J23" t="s">
        <v>11</v>
      </c>
      <c r="K23" t="s">
        <v>0</v>
      </c>
      <c r="L23" t="s">
        <v>11</v>
      </c>
      <c r="M23" t="s">
        <v>0</v>
      </c>
      <c r="N23" t="s">
        <v>11</v>
      </c>
      <c r="O23" t="s">
        <v>0</v>
      </c>
    </row>
    <row r="24" spans="1:15" x14ac:dyDescent="0.2">
      <c r="A24" t="s">
        <v>1</v>
      </c>
      <c r="B24">
        <v>2230.35</v>
      </c>
      <c r="C24">
        <v>27.3</v>
      </c>
      <c r="D24">
        <v>2391.63</v>
      </c>
      <c r="E24">
        <v>2.4</v>
      </c>
      <c r="F24">
        <v>4045.42</v>
      </c>
      <c r="G24">
        <v>3.84</v>
      </c>
      <c r="H24">
        <v>1987.52</v>
      </c>
      <c r="I24">
        <v>22.933</v>
      </c>
      <c r="J24">
        <v>5806.02</v>
      </c>
      <c r="K24">
        <v>57.427</v>
      </c>
      <c r="L24">
        <v>7314.55</v>
      </c>
      <c r="M24">
        <v>22.844000000000001</v>
      </c>
      <c r="N24">
        <v>3558.92</v>
      </c>
      <c r="O24">
        <v>15.247</v>
      </c>
    </row>
    <row r="25" spans="1:15" x14ac:dyDescent="0.2">
      <c r="A25" t="s">
        <v>2</v>
      </c>
      <c r="B25">
        <v>2230.35</v>
      </c>
      <c r="C25">
        <v>6.4</v>
      </c>
      <c r="D25">
        <v>2391.63</v>
      </c>
      <c r="E25">
        <v>4.2</v>
      </c>
      <c r="F25">
        <v>4045.42</v>
      </c>
      <c r="G25">
        <v>1.9</v>
      </c>
      <c r="H25">
        <v>1987.52</v>
      </c>
      <c r="I25">
        <v>12.442</v>
      </c>
      <c r="J25">
        <v>5806.02</v>
      </c>
      <c r="K25">
        <v>490.55399999999997</v>
      </c>
      <c r="L25">
        <v>7314.55</v>
      </c>
      <c r="M25">
        <v>109.178</v>
      </c>
      <c r="N25">
        <v>3558.92</v>
      </c>
      <c r="O25">
        <v>7.8019999999999996</v>
      </c>
    </row>
    <row r="26" spans="1:15" x14ac:dyDescent="0.2">
      <c r="A26" t="s">
        <v>3</v>
      </c>
      <c r="B26">
        <v>2230.35</v>
      </c>
      <c r="C26">
        <v>9.1</v>
      </c>
      <c r="D26">
        <v>2391.63</v>
      </c>
      <c r="E26">
        <v>4.2</v>
      </c>
      <c r="F26">
        <v>4045.42</v>
      </c>
      <c r="G26">
        <v>0.2</v>
      </c>
      <c r="H26">
        <v>1987.52</v>
      </c>
      <c r="I26">
        <v>12.346</v>
      </c>
      <c r="J26">
        <v>5814.75</v>
      </c>
      <c r="K26">
        <v>338.15199999999999</v>
      </c>
      <c r="L26">
        <v>7314.55</v>
      </c>
      <c r="M26">
        <v>542.63099999999997</v>
      </c>
      <c r="N26">
        <v>3558.92</v>
      </c>
      <c r="O26">
        <v>28.594999999999999</v>
      </c>
    </row>
    <row r="27" spans="1:15" x14ac:dyDescent="0.2">
      <c r="A27" t="s">
        <v>4</v>
      </c>
      <c r="B27">
        <v>2230.35</v>
      </c>
      <c r="C27">
        <v>17.100000000000001</v>
      </c>
      <c r="D27">
        <v>2391.63</v>
      </c>
      <c r="E27">
        <v>0.1</v>
      </c>
      <c r="F27">
        <v>4045.42</v>
      </c>
      <c r="G27">
        <v>0.153</v>
      </c>
      <c r="H27">
        <v>1987.52</v>
      </c>
      <c r="I27">
        <v>13.673</v>
      </c>
      <c r="J27">
        <v>5816.74</v>
      </c>
      <c r="K27">
        <v>125.336</v>
      </c>
      <c r="L27">
        <v>7314.55</v>
      </c>
      <c r="M27">
        <v>48.375</v>
      </c>
      <c r="N27">
        <v>3558.92</v>
      </c>
      <c r="O27">
        <v>18.361000000000001</v>
      </c>
    </row>
    <row r="28" spans="1:15" x14ac:dyDescent="0.2">
      <c r="A28" t="s">
        <v>5</v>
      </c>
      <c r="B28">
        <v>2230.35</v>
      </c>
      <c r="C28">
        <v>29.5</v>
      </c>
      <c r="D28">
        <v>2391.63</v>
      </c>
      <c r="E28">
        <v>9.8000000000000007</v>
      </c>
      <c r="F28">
        <v>4045.42</v>
      </c>
      <c r="G28">
        <v>9.6999999999999993</v>
      </c>
      <c r="H28">
        <v>1987.52</v>
      </c>
      <c r="I28">
        <v>1.7669999999999999</v>
      </c>
      <c r="J28">
        <v>5806.02</v>
      </c>
      <c r="K28">
        <v>181.12700000000001</v>
      </c>
      <c r="L28">
        <v>7314.55</v>
      </c>
      <c r="M28">
        <v>106.91</v>
      </c>
      <c r="N28">
        <v>3558.92</v>
      </c>
      <c r="O28">
        <v>24.663</v>
      </c>
    </row>
    <row r="29" spans="1:15" x14ac:dyDescent="0.2">
      <c r="A29" t="s">
        <v>6</v>
      </c>
      <c r="B29">
        <v>2230.35</v>
      </c>
      <c r="C29">
        <v>42.7</v>
      </c>
      <c r="D29">
        <v>2391.63</v>
      </c>
      <c r="E29">
        <v>4</v>
      </c>
      <c r="F29">
        <v>4045.42</v>
      </c>
      <c r="G29">
        <v>6.7</v>
      </c>
      <c r="H29">
        <v>1987.52</v>
      </c>
      <c r="I29">
        <v>0.45600000000000002</v>
      </c>
      <c r="J29">
        <v>5806.02</v>
      </c>
      <c r="K29">
        <v>238.57400000000001</v>
      </c>
      <c r="L29">
        <v>7314.55</v>
      </c>
      <c r="M29">
        <v>183.97800000000001</v>
      </c>
      <c r="N29">
        <v>3558.92</v>
      </c>
      <c r="O29">
        <v>91.891999999999996</v>
      </c>
    </row>
    <row r="30" spans="1:15" x14ac:dyDescent="0.2">
      <c r="A30" t="s">
        <v>7</v>
      </c>
      <c r="B30">
        <v>2230.35</v>
      </c>
      <c r="C30">
        <v>41.4</v>
      </c>
      <c r="D30">
        <v>2391.63</v>
      </c>
      <c r="E30">
        <v>9.6999999999999993</v>
      </c>
      <c r="F30">
        <v>4045.42</v>
      </c>
      <c r="G30">
        <v>46.2</v>
      </c>
      <c r="H30">
        <v>1987.52</v>
      </c>
      <c r="I30">
        <v>11.831</v>
      </c>
      <c r="J30">
        <v>5806.02</v>
      </c>
      <c r="K30">
        <v>154.62700000000001</v>
      </c>
      <c r="L30">
        <v>7314.55</v>
      </c>
      <c r="M30">
        <v>24.088000000000001</v>
      </c>
      <c r="N30">
        <v>3558.92</v>
      </c>
      <c r="O30">
        <v>14.371</v>
      </c>
    </row>
    <row r="31" spans="1:15" x14ac:dyDescent="0.2">
      <c r="A31" t="s">
        <v>8</v>
      </c>
      <c r="B31">
        <v>2230.35</v>
      </c>
      <c r="C31">
        <v>9.6</v>
      </c>
      <c r="D31">
        <v>2391.63</v>
      </c>
      <c r="E31">
        <v>3.2</v>
      </c>
      <c r="F31">
        <v>4045.42</v>
      </c>
      <c r="G31">
        <v>4.7</v>
      </c>
      <c r="H31">
        <v>1987.52</v>
      </c>
      <c r="I31">
        <v>12.462999999999999</v>
      </c>
      <c r="J31">
        <v>5806.02</v>
      </c>
      <c r="K31">
        <v>37.292000000000002</v>
      </c>
      <c r="L31">
        <v>7314.55</v>
      </c>
      <c r="M31">
        <v>54.56</v>
      </c>
      <c r="N31">
        <v>3558.92</v>
      </c>
      <c r="O31">
        <v>9.4280000000000008</v>
      </c>
    </row>
    <row r="32" spans="1:15" x14ac:dyDescent="0.2">
      <c r="A32" t="s">
        <v>9</v>
      </c>
      <c r="B32">
        <v>2230.35</v>
      </c>
      <c r="C32">
        <v>2.5</v>
      </c>
      <c r="D32">
        <v>2391.63</v>
      </c>
      <c r="E32">
        <v>3.1</v>
      </c>
      <c r="F32">
        <v>4045.42</v>
      </c>
      <c r="G32">
        <v>5.7</v>
      </c>
      <c r="H32">
        <v>1987.52</v>
      </c>
      <c r="I32">
        <v>16.71</v>
      </c>
      <c r="J32">
        <v>5806.02</v>
      </c>
      <c r="K32">
        <v>51.877000000000002</v>
      </c>
      <c r="L32">
        <v>7314.55</v>
      </c>
      <c r="M32">
        <v>66.662999999999997</v>
      </c>
      <c r="N32">
        <v>3558.92</v>
      </c>
      <c r="O32">
        <v>2.246</v>
      </c>
    </row>
    <row r="33" spans="1:50" x14ac:dyDescent="0.2">
      <c r="A33" t="s">
        <v>10</v>
      </c>
      <c r="B33">
        <v>2230.35</v>
      </c>
      <c r="C33">
        <v>6.8</v>
      </c>
      <c r="D33">
        <v>2391.63</v>
      </c>
      <c r="E33">
        <v>2.1</v>
      </c>
      <c r="F33">
        <v>4045.42</v>
      </c>
      <c r="G33">
        <v>0.253</v>
      </c>
      <c r="H33">
        <v>1987.52</v>
      </c>
      <c r="I33">
        <v>18.846</v>
      </c>
      <c r="J33">
        <v>5806.02</v>
      </c>
      <c r="K33">
        <v>58.106000000000002</v>
      </c>
      <c r="L33">
        <v>7314.55</v>
      </c>
      <c r="M33">
        <v>95.474999999999994</v>
      </c>
      <c r="N33">
        <v>3558.92</v>
      </c>
      <c r="O33">
        <v>29.122</v>
      </c>
    </row>
    <row r="34" spans="1:50" x14ac:dyDescent="0.2">
      <c r="A34" t="s">
        <v>107</v>
      </c>
      <c r="B34" s="1">
        <f>AVERAGE(B24:B33)</f>
        <v>2230.3499999999995</v>
      </c>
      <c r="C34" s="1">
        <f t="shared" ref="C34:O34" si="1">AVERAGE(C24:C33)</f>
        <v>19.240000000000002</v>
      </c>
      <c r="D34" s="1">
        <f t="shared" si="1"/>
        <v>2391.6300000000006</v>
      </c>
      <c r="E34" s="1">
        <f t="shared" si="1"/>
        <v>4.2800000000000011</v>
      </c>
      <c r="F34" s="1">
        <f t="shared" si="1"/>
        <v>4045.4199999999992</v>
      </c>
      <c r="G34" s="1">
        <f t="shared" si="1"/>
        <v>7.9346000000000005</v>
      </c>
      <c r="H34" s="1">
        <f t="shared" si="1"/>
        <v>1987.52</v>
      </c>
      <c r="I34" s="1">
        <f t="shared" si="1"/>
        <v>12.346700000000002</v>
      </c>
      <c r="J34" s="1">
        <f t="shared" si="1"/>
        <v>5807.9650000000011</v>
      </c>
      <c r="K34" s="1">
        <f t="shared" si="1"/>
        <v>173.30719999999999</v>
      </c>
      <c r="L34" s="1">
        <f t="shared" si="1"/>
        <v>7314.5500000000011</v>
      </c>
      <c r="M34" s="1">
        <f t="shared" si="1"/>
        <v>125.47019999999998</v>
      </c>
      <c r="N34" s="1">
        <f t="shared" si="1"/>
        <v>3558.9199999999992</v>
      </c>
      <c r="O34" s="1">
        <f t="shared" si="1"/>
        <v>24.172700000000003</v>
      </c>
    </row>
    <row r="38" spans="1:50" x14ac:dyDescent="0.2"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29</v>
      </c>
      <c r="J38" t="s">
        <v>30</v>
      </c>
      <c r="K38" t="s">
        <v>31</v>
      </c>
      <c r="L38" t="s">
        <v>32</v>
      </c>
      <c r="M38" t="s">
        <v>33</v>
      </c>
      <c r="N38" t="s">
        <v>34</v>
      </c>
      <c r="O38" t="s">
        <v>35</v>
      </c>
      <c r="P38" t="s">
        <v>36</v>
      </c>
      <c r="Q38" t="s">
        <v>37</v>
      </c>
      <c r="R38" t="s">
        <v>38</v>
      </c>
      <c r="S38" t="s">
        <v>39</v>
      </c>
      <c r="T38" t="s">
        <v>40</v>
      </c>
      <c r="U38" t="s">
        <v>41</v>
      </c>
      <c r="V38" t="s">
        <v>42</v>
      </c>
      <c r="W38" t="s">
        <v>43</v>
      </c>
      <c r="X38" t="s">
        <v>44</v>
      </c>
      <c r="Y38" t="s">
        <v>45</v>
      </c>
      <c r="Z38" t="s">
        <v>46</v>
      </c>
      <c r="AA38" t="s">
        <v>47</v>
      </c>
      <c r="AB38" t="s">
        <v>48</v>
      </c>
    </row>
    <row r="39" spans="1:50" x14ac:dyDescent="0.2">
      <c r="B39" t="s">
        <v>11</v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  <c r="L39" t="s">
        <v>11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  <c r="R39" t="s">
        <v>11</v>
      </c>
      <c r="S39" t="s">
        <v>11</v>
      </c>
      <c r="T39" t="s">
        <v>11</v>
      </c>
      <c r="U39" t="s">
        <v>11</v>
      </c>
      <c r="V39" t="s">
        <v>11</v>
      </c>
      <c r="W39" t="s">
        <v>11</v>
      </c>
      <c r="X39" t="s">
        <v>11</v>
      </c>
      <c r="Y39" t="s">
        <v>11</v>
      </c>
      <c r="Z39" t="s">
        <v>11</v>
      </c>
      <c r="AA39" t="s">
        <v>11</v>
      </c>
      <c r="AB39" t="s">
        <v>11</v>
      </c>
    </row>
    <row r="40" spans="1:50" x14ac:dyDescent="0.2">
      <c r="A40" t="s">
        <v>1</v>
      </c>
      <c r="B40">
        <v>2192</v>
      </c>
      <c r="C40">
        <v>1725</v>
      </c>
      <c r="D40">
        <v>1612</v>
      </c>
      <c r="E40">
        <v>2104</v>
      </c>
      <c r="F40">
        <v>2279</v>
      </c>
      <c r="G40">
        <v>1970</v>
      </c>
      <c r="H40">
        <v>2241</v>
      </c>
      <c r="I40">
        <v>2084</v>
      </c>
      <c r="J40">
        <v>2312</v>
      </c>
      <c r="K40">
        <v>2216</v>
      </c>
      <c r="L40">
        <v>2563</v>
      </c>
      <c r="M40">
        <v>2848</v>
      </c>
      <c r="N40">
        <v>2831</v>
      </c>
      <c r="O40">
        <v>2373</v>
      </c>
      <c r="P40">
        <v>3101</v>
      </c>
      <c r="Q40">
        <v>3115</v>
      </c>
      <c r="R40">
        <v>3357</v>
      </c>
      <c r="S40">
        <v>2588</v>
      </c>
      <c r="T40">
        <v>3446</v>
      </c>
      <c r="U40">
        <v>2868</v>
      </c>
      <c r="V40">
        <v>3925</v>
      </c>
      <c r="W40">
        <v>4630</v>
      </c>
      <c r="X40">
        <v>3256</v>
      </c>
      <c r="Y40">
        <v>4135</v>
      </c>
      <c r="Z40">
        <v>3487</v>
      </c>
      <c r="AA40">
        <v>3528</v>
      </c>
      <c r="AB40">
        <v>5929</v>
      </c>
    </row>
    <row r="41" spans="1:50" x14ac:dyDescent="0.2">
      <c r="A41" t="s">
        <v>2</v>
      </c>
      <c r="B41">
        <v>2192</v>
      </c>
      <c r="C41">
        <v>1725</v>
      </c>
      <c r="D41">
        <v>1612</v>
      </c>
      <c r="E41">
        <v>2104</v>
      </c>
      <c r="F41">
        <v>2279</v>
      </c>
      <c r="G41">
        <v>1970</v>
      </c>
      <c r="H41">
        <v>2241</v>
      </c>
      <c r="I41">
        <v>2084</v>
      </c>
      <c r="J41">
        <v>2312</v>
      </c>
      <c r="K41">
        <v>2216</v>
      </c>
      <c r="L41">
        <v>2563</v>
      </c>
      <c r="M41">
        <v>2848</v>
      </c>
      <c r="N41">
        <v>2831</v>
      </c>
      <c r="O41">
        <v>2373</v>
      </c>
      <c r="P41">
        <v>3101</v>
      </c>
      <c r="Q41">
        <v>3115</v>
      </c>
      <c r="R41">
        <v>3357</v>
      </c>
      <c r="S41">
        <v>2588</v>
      </c>
      <c r="T41">
        <v>3446</v>
      </c>
      <c r="U41">
        <v>2868</v>
      </c>
      <c r="V41">
        <v>3925</v>
      </c>
      <c r="W41">
        <v>4630</v>
      </c>
      <c r="X41">
        <v>3256</v>
      </c>
      <c r="Y41">
        <v>4135</v>
      </c>
      <c r="Z41">
        <v>3487</v>
      </c>
      <c r="AA41">
        <v>3528</v>
      </c>
      <c r="AB41">
        <v>5929</v>
      </c>
      <c r="AX41" t="s">
        <v>85</v>
      </c>
    </row>
    <row r="42" spans="1:50" x14ac:dyDescent="0.2">
      <c r="A42" t="s">
        <v>3</v>
      </c>
      <c r="B42">
        <v>2192</v>
      </c>
      <c r="C42">
        <v>1725</v>
      </c>
      <c r="D42">
        <v>1612</v>
      </c>
      <c r="E42">
        <v>2104</v>
      </c>
      <c r="F42">
        <v>2279</v>
      </c>
      <c r="G42">
        <v>1970</v>
      </c>
      <c r="H42">
        <v>2241</v>
      </c>
      <c r="I42">
        <v>2084</v>
      </c>
      <c r="J42">
        <v>2312</v>
      </c>
      <c r="K42">
        <v>2216</v>
      </c>
      <c r="L42">
        <v>2563</v>
      </c>
      <c r="M42">
        <v>2848</v>
      </c>
      <c r="N42">
        <v>2831</v>
      </c>
      <c r="O42">
        <v>2373</v>
      </c>
      <c r="P42">
        <v>3101</v>
      </c>
      <c r="Q42">
        <v>3115</v>
      </c>
      <c r="R42">
        <v>3357</v>
      </c>
      <c r="S42">
        <v>2588</v>
      </c>
      <c r="T42">
        <v>3446</v>
      </c>
      <c r="U42">
        <v>2869</v>
      </c>
      <c r="V42">
        <v>3925</v>
      </c>
      <c r="W42">
        <v>4630</v>
      </c>
      <c r="X42">
        <v>3256</v>
      </c>
      <c r="Y42">
        <v>4135</v>
      </c>
      <c r="Z42">
        <v>3487</v>
      </c>
      <c r="AA42">
        <v>3528</v>
      </c>
      <c r="AB42">
        <v>5929</v>
      </c>
      <c r="AX42" t="s">
        <v>86</v>
      </c>
    </row>
    <row r="43" spans="1:50" x14ac:dyDescent="0.2">
      <c r="A43" t="s">
        <v>4</v>
      </c>
      <c r="B43">
        <v>2192</v>
      </c>
      <c r="C43">
        <v>1725</v>
      </c>
      <c r="D43">
        <v>1612</v>
      </c>
      <c r="E43">
        <v>2104</v>
      </c>
      <c r="F43">
        <v>2279</v>
      </c>
      <c r="G43">
        <v>1970</v>
      </c>
      <c r="H43">
        <v>2241</v>
      </c>
      <c r="I43">
        <v>2084</v>
      </c>
      <c r="J43">
        <v>2312</v>
      </c>
      <c r="K43">
        <v>2216</v>
      </c>
      <c r="L43">
        <v>2563</v>
      </c>
      <c r="M43">
        <v>2848</v>
      </c>
      <c r="N43">
        <v>2831</v>
      </c>
      <c r="O43">
        <v>2373</v>
      </c>
      <c r="P43">
        <v>3101</v>
      </c>
      <c r="Q43">
        <v>3115</v>
      </c>
      <c r="R43">
        <v>3357</v>
      </c>
      <c r="S43">
        <v>2588</v>
      </c>
      <c r="T43">
        <v>3446</v>
      </c>
      <c r="U43">
        <v>2869</v>
      </c>
      <c r="V43">
        <v>3925</v>
      </c>
      <c r="W43">
        <v>4630</v>
      </c>
      <c r="X43">
        <v>3256</v>
      </c>
      <c r="Y43">
        <v>4135</v>
      </c>
      <c r="Z43">
        <v>3487</v>
      </c>
      <c r="AA43">
        <v>3528</v>
      </c>
      <c r="AB43">
        <v>5929</v>
      </c>
      <c r="AX43" t="s">
        <v>87</v>
      </c>
    </row>
    <row r="44" spans="1:50" x14ac:dyDescent="0.2">
      <c r="A44" t="s">
        <v>5</v>
      </c>
      <c r="B44">
        <v>2192</v>
      </c>
      <c r="C44">
        <v>1725</v>
      </c>
      <c r="D44">
        <v>1612</v>
      </c>
      <c r="E44">
        <v>2104</v>
      </c>
      <c r="F44">
        <v>2279</v>
      </c>
      <c r="G44">
        <v>1970</v>
      </c>
      <c r="H44">
        <v>2241</v>
      </c>
      <c r="I44">
        <v>2084</v>
      </c>
      <c r="J44">
        <v>2312</v>
      </c>
      <c r="K44">
        <v>2216</v>
      </c>
      <c r="L44">
        <v>2563</v>
      </c>
      <c r="M44">
        <v>2848</v>
      </c>
      <c r="N44">
        <v>2831</v>
      </c>
      <c r="O44">
        <v>2373</v>
      </c>
      <c r="P44">
        <v>3101</v>
      </c>
      <c r="Q44">
        <v>3115</v>
      </c>
      <c r="R44">
        <v>3357</v>
      </c>
      <c r="S44">
        <v>2588</v>
      </c>
      <c r="T44">
        <v>3446</v>
      </c>
      <c r="U44">
        <v>2869</v>
      </c>
      <c r="V44">
        <v>3925</v>
      </c>
      <c r="W44">
        <v>4630</v>
      </c>
      <c r="X44">
        <v>3256</v>
      </c>
      <c r="Y44">
        <v>4135</v>
      </c>
      <c r="Z44">
        <v>3487</v>
      </c>
      <c r="AA44">
        <v>3528</v>
      </c>
      <c r="AB44">
        <v>5929</v>
      </c>
      <c r="AX44" t="s">
        <v>88</v>
      </c>
    </row>
    <row r="45" spans="1:50" x14ac:dyDescent="0.2">
      <c r="A45" t="s">
        <v>6</v>
      </c>
      <c r="B45">
        <v>2192</v>
      </c>
      <c r="C45">
        <v>1725</v>
      </c>
      <c r="D45">
        <v>1612</v>
      </c>
      <c r="E45">
        <v>2104</v>
      </c>
      <c r="F45">
        <v>2279</v>
      </c>
      <c r="G45">
        <v>1970</v>
      </c>
      <c r="H45">
        <v>2241</v>
      </c>
      <c r="I45">
        <v>2084</v>
      </c>
      <c r="J45">
        <v>2312</v>
      </c>
      <c r="K45">
        <v>2216</v>
      </c>
      <c r="L45">
        <v>2563</v>
      </c>
      <c r="M45">
        <v>2848</v>
      </c>
      <c r="N45">
        <v>2831</v>
      </c>
      <c r="O45">
        <v>2373</v>
      </c>
      <c r="P45">
        <v>3101</v>
      </c>
      <c r="Q45">
        <v>3115</v>
      </c>
      <c r="R45">
        <v>3357</v>
      </c>
      <c r="S45">
        <v>2588</v>
      </c>
      <c r="T45">
        <v>3446</v>
      </c>
      <c r="U45">
        <v>2869</v>
      </c>
      <c r="V45">
        <v>3925</v>
      </c>
      <c r="W45">
        <v>4630</v>
      </c>
      <c r="X45">
        <v>3256</v>
      </c>
      <c r="Y45">
        <v>4135</v>
      </c>
      <c r="Z45">
        <v>3487</v>
      </c>
      <c r="AA45">
        <v>3528</v>
      </c>
      <c r="AB45">
        <v>5929</v>
      </c>
      <c r="AX45" t="s">
        <v>89</v>
      </c>
    </row>
    <row r="46" spans="1:50" x14ac:dyDescent="0.2">
      <c r="A46" t="s">
        <v>7</v>
      </c>
      <c r="B46">
        <v>2192</v>
      </c>
      <c r="C46">
        <v>1725</v>
      </c>
      <c r="D46">
        <v>1612</v>
      </c>
      <c r="E46">
        <v>2104</v>
      </c>
      <c r="F46">
        <v>2279</v>
      </c>
      <c r="G46">
        <v>1970</v>
      </c>
      <c r="H46">
        <v>2241</v>
      </c>
      <c r="I46">
        <v>2084</v>
      </c>
      <c r="J46">
        <v>2312</v>
      </c>
      <c r="K46">
        <v>2216</v>
      </c>
      <c r="L46">
        <v>2563</v>
      </c>
      <c r="M46">
        <v>2848</v>
      </c>
      <c r="N46">
        <v>2831</v>
      </c>
      <c r="O46">
        <v>2373</v>
      </c>
      <c r="P46">
        <v>3101</v>
      </c>
      <c r="Q46">
        <v>3115</v>
      </c>
      <c r="R46">
        <v>3357</v>
      </c>
      <c r="S46">
        <v>2588</v>
      </c>
      <c r="T46">
        <v>3446</v>
      </c>
      <c r="U46">
        <v>2869</v>
      </c>
      <c r="V46">
        <v>3925</v>
      </c>
      <c r="W46">
        <v>4630</v>
      </c>
      <c r="X46">
        <v>3256</v>
      </c>
      <c r="Y46">
        <v>4135</v>
      </c>
      <c r="Z46">
        <v>3487</v>
      </c>
      <c r="AA46">
        <v>3528</v>
      </c>
      <c r="AB46">
        <v>5929</v>
      </c>
      <c r="AX46" t="s">
        <v>90</v>
      </c>
    </row>
    <row r="47" spans="1:50" x14ac:dyDescent="0.2">
      <c r="A47" t="s">
        <v>8</v>
      </c>
      <c r="B47">
        <v>2192</v>
      </c>
      <c r="C47">
        <v>1725</v>
      </c>
      <c r="D47">
        <v>1612</v>
      </c>
      <c r="E47">
        <v>2104</v>
      </c>
      <c r="F47">
        <v>2279</v>
      </c>
      <c r="G47">
        <v>1970</v>
      </c>
      <c r="H47">
        <v>2241</v>
      </c>
      <c r="I47">
        <v>2084</v>
      </c>
      <c r="J47">
        <v>2312</v>
      </c>
      <c r="K47">
        <v>2216</v>
      </c>
      <c r="L47">
        <v>2563</v>
      </c>
      <c r="M47">
        <v>2848</v>
      </c>
      <c r="N47">
        <v>2831</v>
      </c>
      <c r="O47">
        <v>2373</v>
      </c>
      <c r="P47">
        <v>3101</v>
      </c>
      <c r="Q47">
        <v>3115</v>
      </c>
      <c r="R47">
        <v>3357</v>
      </c>
      <c r="S47">
        <v>2588</v>
      </c>
      <c r="T47">
        <v>3446</v>
      </c>
      <c r="U47">
        <v>2868</v>
      </c>
      <c r="V47">
        <v>3925</v>
      </c>
      <c r="W47">
        <v>4630</v>
      </c>
      <c r="X47">
        <v>3256</v>
      </c>
      <c r="Y47">
        <v>4135</v>
      </c>
      <c r="Z47">
        <v>3487</v>
      </c>
      <c r="AA47">
        <v>3528</v>
      </c>
      <c r="AB47">
        <v>5929</v>
      </c>
      <c r="AX47" t="s">
        <v>91</v>
      </c>
    </row>
    <row r="48" spans="1:50" x14ac:dyDescent="0.2">
      <c r="A48" t="s">
        <v>9</v>
      </c>
      <c r="B48">
        <v>2192</v>
      </c>
      <c r="C48">
        <v>1725</v>
      </c>
      <c r="D48">
        <v>1612</v>
      </c>
      <c r="E48">
        <v>2104</v>
      </c>
      <c r="F48">
        <v>2279</v>
      </c>
      <c r="G48">
        <v>1970</v>
      </c>
      <c r="H48">
        <v>2241</v>
      </c>
      <c r="I48">
        <v>2084</v>
      </c>
      <c r="J48">
        <v>2312</v>
      </c>
      <c r="K48">
        <v>2216</v>
      </c>
      <c r="L48">
        <v>2563</v>
      </c>
      <c r="M48">
        <v>2848</v>
      </c>
      <c r="N48">
        <v>2831</v>
      </c>
      <c r="O48">
        <v>2373</v>
      </c>
      <c r="P48">
        <v>3101</v>
      </c>
      <c r="Q48">
        <v>3115</v>
      </c>
      <c r="R48">
        <v>3357</v>
      </c>
      <c r="S48">
        <v>2588</v>
      </c>
      <c r="T48">
        <v>3446</v>
      </c>
      <c r="U48">
        <v>2868</v>
      </c>
      <c r="V48">
        <v>3925</v>
      </c>
      <c r="W48">
        <v>4630</v>
      </c>
      <c r="X48">
        <v>3256</v>
      </c>
      <c r="Y48">
        <v>4135</v>
      </c>
      <c r="Z48">
        <v>3487</v>
      </c>
      <c r="AA48">
        <v>3528</v>
      </c>
      <c r="AB48">
        <v>5929</v>
      </c>
      <c r="AX48" t="s">
        <v>92</v>
      </c>
    </row>
    <row r="49" spans="1:50" x14ac:dyDescent="0.2">
      <c r="A49" t="s">
        <v>10</v>
      </c>
      <c r="B49">
        <v>2192</v>
      </c>
      <c r="C49">
        <v>1725</v>
      </c>
      <c r="D49">
        <v>1612</v>
      </c>
      <c r="E49">
        <v>2104</v>
      </c>
      <c r="F49">
        <v>2279</v>
      </c>
      <c r="G49">
        <v>1970</v>
      </c>
      <c r="H49">
        <v>2241</v>
      </c>
      <c r="I49">
        <v>2084</v>
      </c>
      <c r="J49">
        <v>2312</v>
      </c>
      <c r="K49">
        <v>2216</v>
      </c>
      <c r="L49">
        <v>2563</v>
      </c>
      <c r="M49">
        <v>2848</v>
      </c>
      <c r="N49">
        <v>2831</v>
      </c>
      <c r="O49">
        <v>2373</v>
      </c>
      <c r="P49">
        <v>3101</v>
      </c>
      <c r="Q49">
        <v>3115</v>
      </c>
      <c r="R49">
        <v>3357</v>
      </c>
      <c r="S49">
        <v>2588</v>
      </c>
      <c r="T49">
        <v>3446</v>
      </c>
      <c r="U49">
        <v>2869</v>
      </c>
      <c r="V49">
        <v>3925</v>
      </c>
      <c r="W49">
        <v>4630</v>
      </c>
      <c r="X49">
        <v>3256</v>
      </c>
      <c r="Y49">
        <v>4135</v>
      </c>
      <c r="Z49">
        <v>3487</v>
      </c>
      <c r="AA49">
        <v>3528</v>
      </c>
      <c r="AB49">
        <v>5929</v>
      </c>
      <c r="AX49" t="s">
        <v>93</v>
      </c>
    </row>
    <row r="50" spans="1:50" x14ac:dyDescent="0.2">
      <c r="A50" t="s">
        <v>107</v>
      </c>
      <c r="B50">
        <f>AVERAGE(B40:B49)</f>
        <v>2192</v>
      </c>
      <c r="C50">
        <f t="shared" ref="C50:AB50" si="2">AVERAGE(C40:C49)</f>
        <v>1725</v>
      </c>
      <c r="D50">
        <f t="shared" si="2"/>
        <v>1612</v>
      </c>
      <c r="E50">
        <f t="shared" si="2"/>
        <v>2104</v>
      </c>
      <c r="F50">
        <f t="shared" si="2"/>
        <v>2279</v>
      </c>
      <c r="G50">
        <f t="shared" si="2"/>
        <v>1970</v>
      </c>
      <c r="H50">
        <f t="shared" si="2"/>
        <v>2241</v>
      </c>
      <c r="I50">
        <f t="shared" si="2"/>
        <v>2084</v>
      </c>
      <c r="J50">
        <f t="shared" si="2"/>
        <v>2312</v>
      </c>
      <c r="K50">
        <f t="shared" si="2"/>
        <v>2216</v>
      </c>
      <c r="L50">
        <f t="shared" si="2"/>
        <v>2563</v>
      </c>
      <c r="M50">
        <f t="shared" si="2"/>
        <v>2848</v>
      </c>
      <c r="N50">
        <f t="shared" si="2"/>
        <v>2831</v>
      </c>
      <c r="O50">
        <f t="shared" si="2"/>
        <v>2373</v>
      </c>
      <c r="P50">
        <f t="shared" si="2"/>
        <v>3101</v>
      </c>
      <c r="Q50">
        <f t="shared" si="2"/>
        <v>3115</v>
      </c>
      <c r="R50">
        <f t="shared" si="2"/>
        <v>3357</v>
      </c>
      <c r="S50">
        <f t="shared" si="2"/>
        <v>2588</v>
      </c>
      <c r="T50">
        <f t="shared" si="2"/>
        <v>3446</v>
      </c>
      <c r="U50">
        <f t="shared" si="2"/>
        <v>2868.6</v>
      </c>
      <c r="V50">
        <f t="shared" si="2"/>
        <v>3925</v>
      </c>
      <c r="W50">
        <f t="shared" si="2"/>
        <v>4630</v>
      </c>
      <c r="X50">
        <f t="shared" si="2"/>
        <v>3256</v>
      </c>
      <c r="Y50">
        <f t="shared" si="2"/>
        <v>4135</v>
      </c>
      <c r="Z50">
        <f t="shared" si="2"/>
        <v>3487</v>
      </c>
      <c r="AA50">
        <f t="shared" si="2"/>
        <v>3528</v>
      </c>
      <c r="AB50">
        <f t="shared" si="2"/>
        <v>5929</v>
      </c>
      <c r="AX50" t="s">
        <v>94</v>
      </c>
    </row>
    <row r="51" spans="1:50" x14ac:dyDescent="0.2">
      <c r="AX51" t="s">
        <v>95</v>
      </c>
    </row>
    <row r="52" spans="1:50" x14ac:dyDescent="0.2">
      <c r="AX52" t="s">
        <v>96</v>
      </c>
    </row>
    <row r="53" spans="1:50" x14ac:dyDescent="0.2">
      <c r="AX53" t="s">
        <v>97</v>
      </c>
    </row>
    <row r="54" spans="1:50" x14ac:dyDescent="0.2"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29</v>
      </c>
      <c r="J54" t="s">
        <v>30</v>
      </c>
      <c r="K54" t="s">
        <v>31</v>
      </c>
      <c r="L54" t="s">
        <v>32</v>
      </c>
      <c r="M54" t="s">
        <v>33</v>
      </c>
      <c r="N54" t="s">
        <v>34</v>
      </c>
      <c r="O54" t="s">
        <v>35</v>
      </c>
      <c r="P54" t="s">
        <v>36</v>
      </c>
      <c r="Q54" t="s">
        <v>37</v>
      </c>
      <c r="R54" t="s">
        <v>38</v>
      </c>
      <c r="S54" t="s">
        <v>39</v>
      </c>
      <c r="T54" t="s">
        <v>40</v>
      </c>
      <c r="U54" t="s">
        <v>41</v>
      </c>
      <c r="V54" t="s">
        <v>42</v>
      </c>
      <c r="W54" t="s">
        <v>43</v>
      </c>
      <c r="X54" t="s">
        <v>44</v>
      </c>
      <c r="Y54" t="s">
        <v>45</v>
      </c>
      <c r="Z54" t="s">
        <v>46</v>
      </c>
      <c r="AA54" t="s">
        <v>47</v>
      </c>
      <c r="AB54" t="s">
        <v>48</v>
      </c>
      <c r="AX54" t="s">
        <v>98</v>
      </c>
    </row>
    <row r="55" spans="1:50" x14ac:dyDescent="0.2"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X55" t="s">
        <v>99</v>
      </c>
    </row>
    <row r="56" spans="1:50" x14ac:dyDescent="0.2">
      <c r="A56" t="s">
        <v>1</v>
      </c>
      <c r="B56">
        <v>3.5999999999999997E-2</v>
      </c>
      <c r="C56">
        <v>0.03</v>
      </c>
      <c r="D56">
        <v>7.1999999999999995E-2</v>
      </c>
      <c r="E56">
        <v>6.4000000000000001E-2</v>
      </c>
      <c r="F56">
        <v>1.4999999999999999E-2</v>
      </c>
      <c r="G56">
        <v>7.0999999999999994E-2</v>
      </c>
      <c r="H56">
        <v>6.6000000000000003E-2</v>
      </c>
      <c r="I56">
        <v>2.3E-2</v>
      </c>
      <c r="J56">
        <v>2.7E-2</v>
      </c>
      <c r="K56">
        <v>1.9E-2</v>
      </c>
      <c r="L56">
        <v>4.2999999999999997E-2</v>
      </c>
      <c r="M56">
        <v>0.23100000000000001</v>
      </c>
      <c r="N56">
        <v>9.6000000000000002E-2</v>
      </c>
      <c r="O56">
        <v>2.7E-2</v>
      </c>
      <c r="P56">
        <v>1.7999999999999999E-2</v>
      </c>
      <c r="Q56">
        <v>5.5739999999999998</v>
      </c>
      <c r="R56">
        <v>3.3119999999999998</v>
      </c>
      <c r="S56">
        <v>0.13100000000000001</v>
      </c>
      <c r="T56">
        <v>0.96799999999999997</v>
      </c>
      <c r="U56">
        <v>1.159</v>
      </c>
      <c r="V56">
        <v>6.2329999999999997</v>
      </c>
      <c r="W56">
        <v>0.156</v>
      </c>
      <c r="X56">
        <v>4.0380000000000003</v>
      </c>
      <c r="Y56">
        <v>0.747</v>
      </c>
      <c r="Z56">
        <v>3.5049999999999999</v>
      </c>
      <c r="AA56">
        <v>4.1120000000000001</v>
      </c>
      <c r="AB56">
        <v>6.351</v>
      </c>
      <c r="AX56" t="s">
        <v>100</v>
      </c>
    </row>
    <row r="57" spans="1:50" x14ac:dyDescent="0.2">
      <c r="A57" t="s">
        <v>2</v>
      </c>
      <c r="B57">
        <v>2.1999999999999999E-2</v>
      </c>
      <c r="C57">
        <v>6.3E-2</v>
      </c>
      <c r="D57">
        <v>5.8000000000000003E-2</v>
      </c>
      <c r="E57">
        <v>3.2000000000000001E-2</v>
      </c>
      <c r="F57">
        <v>0.02</v>
      </c>
      <c r="G57">
        <v>2.7E-2</v>
      </c>
      <c r="H57">
        <v>0.33200000000000002</v>
      </c>
      <c r="I57">
        <v>6.0999999999999999E-2</v>
      </c>
      <c r="J57">
        <v>2.7E-2</v>
      </c>
      <c r="K57">
        <v>0.02</v>
      </c>
      <c r="L57">
        <v>0.115</v>
      </c>
      <c r="M57">
        <v>0.25700000000000001</v>
      </c>
      <c r="N57">
        <v>1.4610000000000001</v>
      </c>
      <c r="O57">
        <v>2.5000000000000001E-2</v>
      </c>
      <c r="P57">
        <v>6.2E-2</v>
      </c>
      <c r="Q57">
        <v>0.96799999999999997</v>
      </c>
      <c r="R57">
        <v>9.2999999999999999E-2</v>
      </c>
      <c r="S57">
        <v>7.6820000000000004</v>
      </c>
      <c r="T57">
        <v>3.53</v>
      </c>
      <c r="U57">
        <v>1.0920000000000001</v>
      </c>
      <c r="V57">
        <v>5.7000000000000002E-2</v>
      </c>
      <c r="W57">
        <v>43.307000000000002</v>
      </c>
      <c r="X57">
        <v>3.359</v>
      </c>
      <c r="Y57">
        <v>9.0410000000000004</v>
      </c>
      <c r="Z57">
        <v>0.64700000000000002</v>
      </c>
      <c r="AA57">
        <v>0.63900000000000001</v>
      </c>
      <c r="AB57">
        <v>7.3810000000000002</v>
      </c>
      <c r="AX57" t="s">
        <v>101</v>
      </c>
    </row>
    <row r="58" spans="1:50" x14ac:dyDescent="0.2">
      <c r="A58" t="s">
        <v>3</v>
      </c>
      <c r="B58">
        <v>6.0999999999999999E-2</v>
      </c>
      <c r="C58">
        <v>4.5999999999999999E-2</v>
      </c>
      <c r="D58">
        <v>2.5999999999999999E-2</v>
      </c>
      <c r="E58">
        <v>4.1000000000000002E-2</v>
      </c>
      <c r="F58">
        <v>3.4000000000000002E-2</v>
      </c>
      <c r="G58">
        <v>3.4000000000000002E-2</v>
      </c>
      <c r="H58">
        <v>4.1000000000000002E-2</v>
      </c>
      <c r="I58">
        <v>0.221</v>
      </c>
      <c r="J58">
        <v>3.2000000000000001E-2</v>
      </c>
      <c r="K58">
        <v>1.7999999999999999E-2</v>
      </c>
      <c r="L58">
        <v>4.5999999999999999E-2</v>
      </c>
      <c r="M58">
        <v>2.1999999999999999E-2</v>
      </c>
      <c r="N58">
        <v>0.48299999999999998</v>
      </c>
      <c r="O58">
        <v>2.5999999999999999E-2</v>
      </c>
      <c r="P58">
        <v>4.2000000000000003E-2</v>
      </c>
      <c r="Q58">
        <v>0.13100000000000001</v>
      </c>
      <c r="R58">
        <v>0.47399999999999998</v>
      </c>
      <c r="S58">
        <v>2.0139999999999998</v>
      </c>
      <c r="T58">
        <v>0.41399999999999998</v>
      </c>
      <c r="U58">
        <v>18.158999999999999</v>
      </c>
      <c r="V58">
        <v>4.8000000000000001E-2</v>
      </c>
      <c r="W58">
        <v>9.1999999999999998E-2</v>
      </c>
      <c r="X58">
        <v>3.74</v>
      </c>
      <c r="Y58">
        <v>7.1139999999999999</v>
      </c>
      <c r="Z58">
        <v>0.58599999999999997</v>
      </c>
      <c r="AA58">
        <v>0.218</v>
      </c>
      <c r="AB58">
        <v>2.992</v>
      </c>
      <c r="AX58" t="s">
        <v>102</v>
      </c>
    </row>
    <row r="59" spans="1:50" x14ac:dyDescent="0.2">
      <c r="A59" t="s">
        <v>4</v>
      </c>
      <c r="B59">
        <v>0.02</v>
      </c>
      <c r="C59">
        <v>5.1999999999999998E-2</v>
      </c>
      <c r="D59">
        <v>7.3999999999999996E-2</v>
      </c>
      <c r="E59">
        <v>4.3999999999999997E-2</v>
      </c>
      <c r="F59">
        <v>1.4E-2</v>
      </c>
      <c r="G59">
        <v>4.5999999999999999E-2</v>
      </c>
      <c r="H59">
        <v>0.68600000000000005</v>
      </c>
      <c r="I59">
        <v>2.1000000000000001E-2</v>
      </c>
      <c r="J59">
        <v>2.4E-2</v>
      </c>
      <c r="K59">
        <v>1.9E-2</v>
      </c>
      <c r="L59">
        <v>8.9999999999999993E-3</v>
      </c>
      <c r="M59">
        <v>0.64900000000000002</v>
      </c>
      <c r="N59">
        <v>0.70899999999999996</v>
      </c>
      <c r="O59">
        <v>3.4000000000000002E-2</v>
      </c>
      <c r="P59">
        <v>0.02</v>
      </c>
      <c r="Q59">
        <v>0.81200000000000006</v>
      </c>
      <c r="R59">
        <v>2.093</v>
      </c>
      <c r="S59">
        <v>2.0139999999999998</v>
      </c>
      <c r="T59">
        <v>0.11700000000000001</v>
      </c>
      <c r="U59">
        <v>25.565999999999999</v>
      </c>
      <c r="V59">
        <v>3.6999999999999998E-2</v>
      </c>
      <c r="W59">
        <v>0.254</v>
      </c>
      <c r="X59">
        <v>4.0019999999999998</v>
      </c>
      <c r="Y59">
        <v>0.111</v>
      </c>
      <c r="Z59">
        <v>0.97299999999999998</v>
      </c>
      <c r="AA59">
        <v>0.18099999999999999</v>
      </c>
      <c r="AB59">
        <v>3.194</v>
      </c>
      <c r="AX59" t="s">
        <v>103</v>
      </c>
    </row>
    <row r="60" spans="1:50" x14ac:dyDescent="0.2">
      <c r="A60" t="s">
        <v>5</v>
      </c>
      <c r="B60">
        <v>2.1000000000000001E-2</v>
      </c>
      <c r="C60">
        <v>0.04</v>
      </c>
      <c r="D60">
        <v>1.4999999999999999E-2</v>
      </c>
      <c r="E60">
        <v>0.186</v>
      </c>
      <c r="F60">
        <v>3.0000000000000001E-3</v>
      </c>
      <c r="G60">
        <v>1.4999999999999999E-2</v>
      </c>
      <c r="H60">
        <v>8.7999999999999995E-2</v>
      </c>
      <c r="I60">
        <v>6.2E-2</v>
      </c>
      <c r="J60">
        <v>2.9000000000000001E-2</v>
      </c>
      <c r="K60">
        <v>4.2000000000000003E-2</v>
      </c>
      <c r="L60">
        <v>9.5000000000000001E-2</v>
      </c>
      <c r="M60">
        <v>0.16900000000000001</v>
      </c>
      <c r="N60">
        <v>0.66300000000000003</v>
      </c>
      <c r="O60">
        <v>0.03</v>
      </c>
      <c r="P60">
        <v>3.4000000000000002E-2</v>
      </c>
      <c r="Q60">
        <v>4.742</v>
      </c>
      <c r="R60">
        <v>0.13400000000000001</v>
      </c>
      <c r="S60">
        <v>8.2000000000000003E-2</v>
      </c>
      <c r="T60">
        <v>0.16800000000000001</v>
      </c>
      <c r="U60">
        <v>1.726</v>
      </c>
      <c r="V60">
        <v>16.733000000000001</v>
      </c>
      <c r="W60">
        <v>0.30299999999999999</v>
      </c>
      <c r="X60">
        <v>0.78</v>
      </c>
      <c r="Y60">
        <v>0.30199999999999999</v>
      </c>
      <c r="Z60">
        <v>0.56299999999999994</v>
      </c>
      <c r="AA60">
        <v>0.371</v>
      </c>
      <c r="AB60">
        <v>3.617</v>
      </c>
      <c r="AX60" t="s">
        <v>104</v>
      </c>
    </row>
    <row r="61" spans="1:50" x14ac:dyDescent="0.2">
      <c r="A61" t="s">
        <v>6</v>
      </c>
      <c r="B61">
        <v>0.02</v>
      </c>
      <c r="C61">
        <v>2.1000000000000001E-2</v>
      </c>
      <c r="D61">
        <v>4.3999999999999997E-2</v>
      </c>
      <c r="E61">
        <v>3.5000000000000003E-2</v>
      </c>
      <c r="F61">
        <v>4.1000000000000002E-2</v>
      </c>
      <c r="G61">
        <v>1.4E-2</v>
      </c>
      <c r="H61">
        <v>0.41899999999999998</v>
      </c>
      <c r="I61">
        <v>0.03</v>
      </c>
      <c r="J61">
        <v>3.3000000000000002E-2</v>
      </c>
      <c r="K61">
        <v>2.1999999999999999E-2</v>
      </c>
      <c r="L61">
        <v>7.0000000000000007E-2</v>
      </c>
      <c r="M61">
        <v>0.14299999999999999</v>
      </c>
      <c r="N61">
        <v>0.14099999999999999</v>
      </c>
      <c r="O61">
        <v>2.8000000000000001E-2</v>
      </c>
      <c r="P61">
        <v>2.8000000000000001E-2</v>
      </c>
      <c r="Q61">
        <v>2.5129999999999999</v>
      </c>
      <c r="R61">
        <v>2.2519999999999998</v>
      </c>
      <c r="S61">
        <v>1.7450000000000001</v>
      </c>
      <c r="T61">
        <v>1.359</v>
      </c>
      <c r="U61">
        <v>9.3219999999999992</v>
      </c>
      <c r="V61">
        <v>1.3779999999999999</v>
      </c>
      <c r="W61">
        <v>8.1000000000000003E-2</v>
      </c>
      <c r="X61">
        <v>2.3940000000000001</v>
      </c>
      <c r="Y61">
        <v>10.868</v>
      </c>
      <c r="Z61">
        <v>0.79100000000000004</v>
      </c>
      <c r="AA61">
        <v>0.20399999999999999</v>
      </c>
      <c r="AB61">
        <v>18.754999999999999</v>
      </c>
      <c r="AX61" t="s">
        <v>105</v>
      </c>
    </row>
    <row r="62" spans="1:50" x14ac:dyDescent="0.2">
      <c r="A62" t="s">
        <v>7</v>
      </c>
      <c r="B62">
        <v>2.7E-2</v>
      </c>
      <c r="C62">
        <v>3.4000000000000002E-2</v>
      </c>
      <c r="D62">
        <v>2.7E-2</v>
      </c>
      <c r="E62">
        <v>0.112</v>
      </c>
      <c r="F62">
        <v>3.2000000000000001E-2</v>
      </c>
      <c r="G62">
        <v>0.39500000000000002</v>
      </c>
      <c r="H62">
        <v>0.71799999999999997</v>
      </c>
      <c r="I62">
        <v>8.9999999999999993E-3</v>
      </c>
      <c r="J62">
        <v>3.6999999999999998E-2</v>
      </c>
      <c r="K62">
        <v>2.4E-2</v>
      </c>
      <c r="L62">
        <v>5.2999999999999999E-2</v>
      </c>
      <c r="M62">
        <v>4.7E-2</v>
      </c>
      <c r="N62">
        <v>0.78</v>
      </c>
      <c r="O62">
        <v>2.4E-2</v>
      </c>
      <c r="P62">
        <v>2.1999999999999999E-2</v>
      </c>
      <c r="Q62">
        <v>3.294</v>
      </c>
      <c r="R62">
        <v>4.9459999999999997</v>
      </c>
      <c r="S62">
        <v>6.2E-2</v>
      </c>
      <c r="T62">
        <v>0.107</v>
      </c>
      <c r="U62">
        <v>0.108</v>
      </c>
      <c r="V62">
        <v>1.0189999999999999</v>
      </c>
      <c r="W62">
        <v>4.5999999999999999E-2</v>
      </c>
      <c r="X62">
        <v>3.3010000000000002</v>
      </c>
      <c r="Y62">
        <v>0.105</v>
      </c>
      <c r="Z62">
        <v>0.45400000000000001</v>
      </c>
      <c r="AA62">
        <v>3.1560000000000001</v>
      </c>
      <c r="AB62">
        <v>15.303000000000001</v>
      </c>
      <c r="AX62" t="s">
        <v>106</v>
      </c>
    </row>
    <row r="63" spans="1:50" x14ac:dyDescent="0.2">
      <c r="A63" t="s">
        <v>8</v>
      </c>
      <c r="B63">
        <v>3.3000000000000002E-2</v>
      </c>
      <c r="C63">
        <v>4.5999999999999999E-2</v>
      </c>
      <c r="D63">
        <v>0.01</v>
      </c>
      <c r="E63">
        <v>4.4999999999999998E-2</v>
      </c>
      <c r="F63">
        <v>4.3999999999999997E-2</v>
      </c>
      <c r="G63">
        <v>0.754</v>
      </c>
      <c r="H63">
        <v>0.223</v>
      </c>
      <c r="I63">
        <v>4.5999999999999999E-2</v>
      </c>
      <c r="J63">
        <v>0.03</v>
      </c>
      <c r="K63">
        <v>3.4000000000000002E-2</v>
      </c>
      <c r="L63">
        <v>2.5000000000000001E-2</v>
      </c>
      <c r="M63">
        <v>3.1E-2</v>
      </c>
      <c r="N63">
        <v>0.11600000000000001</v>
      </c>
      <c r="O63">
        <v>1.9E-2</v>
      </c>
      <c r="P63">
        <v>3.1E-2</v>
      </c>
      <c r="Q63">
        <v>2.5999999999999999E-2</v>
      </c>
      <c r="R63">
        <v>7.5999999999999998E-2</v>
      </c>
      <c r="S63">
        <v>2.5539999999999998</v>
      </c>
      <c r="T63">
        <v>0.16200000000000001</v>
      </c>
      <c r="U63">
        <v>0.2</v>
      </c>
      <c r="V63">
        <v>26.138999999999999</v>
      </c>
      <c r="W63">
        <v>0.14299999999999999</v>
      </c>
      <c r="X63">
        <v>1.494</v>
      </c>
      <c r="Y63">
        <v>0.50800000000000001</v>
      </c>
      <c r="Z63">
        <v>0.85499999999999998</v>
      </c>
      <c r="AA63">
        <v>3.6880000000000002</v>
      </c>
      <c r="AB63">
        <v>2.5089999999999999</v>
      </c>
    </row>
    <row r="64" spans="1:50" x14ac:dyDescent="0.2">
      <c r="A64" t="s">
        <v>9</v>
      </c>
      <c r="B64">
        <v>2.8000000000000001E-2</v>
      </c>
      <c r="C64">
        <v>1.6E-2</v>
      </c>
      <c r="D64">
        <v>2.7E-2</v>
      </c>
      <c r="E64">
        <v>3.7999999999999999E-2</v>
      </c>
      <c r="F64">
        <v>2.8000000000000001E-2</v>
      </c>
      <c r="G64">
        <v>2.8000000000000001E-2</v>
      </c>
      <c r="H64">
        <v>0.16200000000000001</v>
      </c>
      <c r="I64">
        <v>7.0000000000000001E-3</v>
      </c>
      <c r="J64">
        <v>8.2000000000000003E-2</v>
      </c>
      <c r="K64">
        <v>0.03</v>
      </c>
      <c r="L64">
        <v>3.3000000000000002E-2</v>
      </c>
      <c r="M64">
        <v>0.52500000000000002</v>
      </c>
      <c r="N64">
        <v>0.20899999999999999</v>
      </c>
      <c r="O64">
        <v>1.2E-2</v>
      </c>
      <c r="P64">
        <v>4.4999999999999998E-2</v>
      </c>
      <c r="Q64">
        <v>1.8220000000000001</v>
      </c>
      <c r="R64">
        <v>0.42199999999999999</v>
      </c>
      <c r="S64">
        <v>2.7120000000000002</v>
      </c>
      <c r="T64">
        <v>1.968</v>
      </c>
      <c r="U64">
        <v>9.891</v>
      </c>
      <c r="V64">
        <v>9.0999999999999998E-2</v>
      </c>
      <c r="W64">
        <v>1.784</v>
      </c>
      <c r="X64">
        <v>0.89</v>
      </c>
      <c r="Y64">
        <v>0.17699999999999999</v>
      </c>
      <c r="Z64">
        <v>0.8</v>
      </c>
      <c r="AA64">
        <v>0.182</v>
      </c>
      <c r="AB64">
        <v>3.2879999999999998</v>
      </c>
    </row>
    <row r="65" spans="1:29" x14ac:dyDescent="0.2">
      <c r="A65" t="s">
        <v>10</v>
      </c>
      <c r="B65">
        <v>1.2999999999999999E-2</v>
      </c>
      <c r="C65">
        <v>1.6E-2</v>
      </c>
      <c r="D65">
        <v>0.02</v>
      </c>
      <c r="E65">
        <v>3.9E-2</v>
      </c>
      <c r="F65">
        <v>3.4000000000000002E-2</v>
      </c>
      <c r="G65">
        <v>1.2999999999999999E-2</v>
      </c>
      <c r="H65">
        <v>0.83899999999999997</v>
      </c>
      <c r="I65">
        <v>0.26900000000000002</v>
      </c>
      <c r="J65">
        <v>0.03</v>
      </c>
      <c r="K65">
        <v>2.8000000000000001E-2</v>
      </c>
      <c r="L65">
        <v>6.5000000000000002E-2</v>
      </c>
      <c r="M65">
        <v>1.6E-2</v>
      </c>
      <c r="N65">
        <v>0.63800000000000001</v>
      </c>
      <c r="O65">
        <v>0.02</v>
      </c>
      <c r="P65">
        <v>1.9E-2</v>
      </c>
      <c r="Q65">
        <v>2.4870000000000001</v>
      </c>
      <c r="R65">
        <v>0.69099999999999995</v>
      </c>
      <c r="S65">
        <v>3.121</v>
      </c>
      <c r="T65">
        <v>0.161</v>
      </c>
      <c r="U65">
        <v>14.204000000000001</v>
      </c>
      <c r="V65">
        <v>4.4999999999999998E-2</v>
      </c>
      <c r="W65">
        <v>0.56999999999999995</v>
      </c>
      <c r="X65">
        <v>4.6639999999999997</v>
      </c>
      <c r="Y65">
        <v>8.6999999999999994E-2</v>
      </c>
      <c r="Z65">
        <v>0.152</v>
      </c>
      <c r="AA65">
        <v>0.52600000000000002</v>
      </c>
      <c r="AB65">
        <v>4.883</v>
      </c>
    </row>
    <row r="66" spans="1:29" x14ac:dyDescent="0.2">
      <c r="A66" t="s">
        <v>107</v>
      </c>
      <c r="B66" s="1">
        <f>AVERAGE(B56:B65)</f>
        <v>2.8099999999999997E-2</v>
      </c>
      <c r="C66" s="1">
        <f t="shared" ref="C66:AB66" si="3">AVERAGE(C56:C65)</f>
        <v>3.6400000000000002E-2</v>
      </c>
      <c r="D66" s="1">
        <f t="shared" si="3"/>
        <v>3.7300000000000007E-2</v>
      </c>
      <c r="E66" s="1">
        <f t="shared" si="3"/>
        <v>6.3600000000000018E-2</v>
      </c>
      <c r="F66" s="1">
        <f t="shared" si="3"/>
        <v>2.6500000000000003E-2</v>
      </c>
      <c r="G66" s="1">
        <f t="shared" si="3"/>
        <v>0.13969999999999999</v>
      </c>
      <c r="H66" s="1">
        <f t="shared" si="3"/>
        <v>0.3574</v>
      </c>
      <c r="I66" s="1">
        <f t="shared" si="3"/>
        <v>7.4900000000000008E-2</v>
      </c>
      <c r="J66" s="1">
        <f t="shared" si="3"/>
        <v>3.5099999999999999E-2</v>
      </c>
      <c r="K66" s="1">
        <f t="shared" si="3"/>
        <v>2.5600000000000001E-2</v>
      </c>
      <c r="L66" s="1">
        <f t="shared" si="3"/>
        <v>5.5400000000000005E-2</v>
      </c>
      <c r="M66" s="1">
        <f t="shared" si="3"/>
        <v>0.20899999999999999</v>
      </c>
      <c r="N66" s="1">
        <f t="shared" si="3"/>
        <v>0.52959999999999996</v>
      </c>
      <c r="O66" s="1">
        <f t="shared" si="3"/>
        <v>2.4500000000000001E-2</v>
      </c>
      <c r="P66" s="1">
        <f t="shared" si="3"/>
        <v>3.2100000000000004E-2</v>
      </c>
      <c r="Q66" s="1">
        <f t="shared" si="3"/>
        <v>2.2368999999999999</v>
      </c>
      <c r="R66" s="1">
        <f t="shared" si="3"/>
        <v>1.4493000000000003</v>
      </c>
      <c r="S66" s="1">
        <f t="shared" si="3"/>
        <v>2.2116999999999996</v>
      </c>
      <c r="T66" s="1">
        <f t="shared" si="3"/>
        <v>0.89539999999999986</v>
      </c>
      <c r="U66" s="1">
        <f t="shared" si="3"/>
        <v>8.1426999999999996</v>
      </c>
      <c r="V66" s="1">
        <f t="shared" si="3"/>
        <v>5.1779999999999999</v>
      </c>
      <c r="W66" s="1">
        <f t="shared" si="3"/>
        <v>4.6735999999999995</v>
      </c>
      <c r="X66" s="1">
        <f t="shared" si="3"/>
        <v>2.8662000000000001</v>
      </c>
      <c r="Y66" s="1">
        <f t="shared" si="3"/>
        <v>2.9059999999999997</v>
      </c>
      <c r="Z66" s="1">
        <f t="shared" si="3"/>
        <v>0.9326000000000001</v>
      </c>
      <c r="AA66" s="1">
        <f t="shared" si="3"/>
        <v>1.3277000000000001</v>
      </c>
      <c r="AB66" s="1">
        <f t="shared" si="3"/>
        <v>6.8272999999999993</v>
      </c>
      <c r="AC66" s="1">
        <f>AVERAGE(B66:AB66)</f>
        <v>1.5304666666666666</v>
      </c>
    </row>
    <row r="72" spans="1:29" x14ac:dyDescent="0.2">
      <c r="B72" t="s">
        <v>49</v>
      </c>
      <c r="C72" t="s">
        <v>50</v>
      </c>
      <c r="D72" t="s">
        <v>51</v>
      </c>
      <c r="E72" t="s">
        <v>52</v>
      </c>
      <c r="F72" t="s">
        <v>53</v>
      </c>
      <c r="G72" t="s">
        <v>54</v>
      </c>
      <c r="H72" t="s">
        <v>55</v>
      </c>
      <c r="I72" t="s">
        <v>56</v>
      </c>
      <c r="J72" t="s">
        <v>57</v>
      </c>
      <c r="K72" t="s">
        <v>58</v>
      </c>
      <c r="L72" t="s">
        <v>59</v>
      </c>
      <c r="M72" t="s">
        <v>60</v>
      </c>
      <c r="N72" t="s">
        <v>61</v>
      </c>
      <c r="O72" t="s">
        <v>62</v>
      </c>
      <c r="P72" t="s">
        <v>63</v>
      </c>
      <c r="Q72" t="s">
        <v>64</v>
      </c>
      <c r="R72" t="s">
        <v>65</v>
      </c>
      <c r="S72" t="s">
        <v>66</v>
      </c>
      <c r="T72" t="s">
        <v>67</v>
      </c>
      <c r="U72" t="s">
        <v>68</v>
      </c>
      <c r="V72" t="s">
        <v>69</v>
      </c>
      <c r="W72" t="s">
        <v>70</v>
      </c>
    </row>
    <row r="73" spans="1:29" x14ac:dyDescent="0.2">
      <c r="B73" t="s">
        <v>11</v>
      </c>
      <c r="C73" t="s">
        <v>11</v>
      </c>
      <c r="D73" t="s">
        <v>11</v>
      </c>
      <c r="E73" t="s">
        <v>11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  <c r="K73" t="s">
        <v>11</v>
      </c>
      <c r="L73" t="s">
        <v>11</v>
      </c>
      <c r="M73" t="s">
        <v>11</v>
      </c>
      <c r="N73" t="s">
        <v>11</v>
      </c>
      <c r="O73" t="s">
        <v>11</v>
      </c>
      <c r="P73" t="s">
        <v>11</v>
      </c>
      <c r="Q73" t="s">
        <v>11</v>
      </c>
      <c r="R73" t="s">
        <v>11</v>
      </c>
      <c r="S73" t="s">
        <v>11</v>
      </c>
      <c r="T73" t="s">
        <v>11</v>
      </c>
      <c r="U73" t="s">
        <v>11</v>
      </c>
      <c r="V73" t="s">
        <v>11</v>
      </c>
      <c r="W73" t="s">
        <v>11</v>
      </c>
    </row>
    <row r="74" spans="1:29" x14ac:dyDescent="0.2">
      <c r="A74" t="s">
        <v>1</v>
      </c>
      <c r="B74">
        <v>396</v>
      </c>
      <c r="C74">
        <v>849</v>
      </c>
      <c r="D74">
        <v>924</v>
      </c>
      <c r="E74">
        <v>928</v>
      </c>
      <c r="F74">
        <v>681</v>
      </c>
      <c r="G74">
        <v>616</v>
      </c>
      <c r="H74">
        <v>1541</v>
      </c>
      <c r="I74">
        <v>1894</v>
      </c>
      <c r="J74">
        <v>1554</v>
      </c>
      <c r="K74">
        <v>1533</v>
      </c>
      <c r="L74">
        <v>1347</v>
      </c>
      <c r="M74">
        <v>1487</v>
      </c>
      <c r="N74">
        <v>1764</v>
      </c>
      <c r="O74">
        <v>1620</v>
      </c>
      <c r="P74">
        <v>1463</v>
      </c>
      <c r="Q74">
        <v>1704</v>
      </c>
      <c r="R74">
        <v>1509</v>
      </c>
      <c r="S74">
        <v>1948</v>
      </c>
      <c r="T74">
        <v>2121</v>
      </c>
      <c r="U74">
        <v>4610</v>
      </c>
      <c r="V74">
        <v>3795</v>
      </c>
      <c r="W74">
        <v>6943</v>
      </c>
    </row>
    <row r="75" spans="1:29" x14ac:dyDescent="0.2">
      <c r="A75" t="s">
        <v>2</v>
      </c>
      <c r="B75">
        <v>396</v>
      </c>
      <c r="C75">
        <v>849</v>
      </c>
      <c r="D75">
        <v>924</v>
      </c>
      <c r="E75">
        <v>928</v>
      </c>
      <c r="F75">
        <v>681</v>
      </c>
      <c r="G75">
        <v>616</v>
      </c>
      <c r="H75">
        <v>1541</v>
      </c>
      <c r="I75">
        <v>1894</v>
      </c>
      <c r="J75">
        <v>1554</v>
      </c>
      <c r="K75">
        <v>1535</v>
      </c>
      <c r="L75">
        <v>1347</v>
      </c>
      <c r="M75">
        <v>1487</v>
      </c>
      <c r="N75">
        <v>1764</v>
      </c>
      <c r="O75">
        <v>1620</v>
      </c>
      <c r="P75">
        <v>1463</v>
      </c>
      <c r="Q75">
        <v>1704</v>
      </c>
      <c r="R75">
        <v>1509</v>
      </c>
      <c r="S75">
        <v>1948</v>
      </c>
      <c r="T75">
        <v>2121</v>
      </c>
      <c r="U75">
        <v>4651</v>
      </c>
      <c r="V75">
        <v>3795</v>
      </c>
      <c r="W75">
        <v>6943</v>
      </c>
    </row>
    <row r="76" spans="1:29" x14ac:dyDescent="0.2">
      <c r="A76" t="s">
        <v>3</v>
      </c>
      <c r="B76">
        <v>396</v>
      </c>
      <c r="C76">
        <v>849</v>
      </c>
      <c r="D76">
        <v>924</v>
      </c>
      <c r="E76">
        <v>928</v>
      </c>
      <c r="F76">
        <v>681</v>
      </c>
      <c r="G76">
        <v>616</v>
      </c>
      <c r="H76">
        <v>1541</v>
      </c>
      <c r="I76">
        <v>1894</v>
      </c>
      <c r="J76">
        <v>1554</v>
      </c>
      <c r="K76">
        <v>1533</v>
      </c>
      <c r="L76">
        <v>1347</v>
      </c>
      <c r="M76">
        <v>1487</v>
      </c>
      <c r="N76">
        <v>1764</v>
      </c>
      <c r="O76">
        <v>1620</v>
      </c>
      <c r="P76">
        <v>1463</v>
      </c>
      <c r="Q76">
        <v>1704</v>
      </c>
      <c r="R76">
        <v>1509</v>
      </c>
      <c r="S76">
        <v>1948</v>
      </c>
      <c r="T76">
        <v>2121</v>
      </c>
      <c r="U76">
        <v>4610</v>
      </c>
      <c r="V76">
        <v>3795</v>
      </c>
      <c r="W76">
        <v>6943</v>
      </c>
    </row>
    <row r="77" spans="1:29" x14ac:dyDescent="0.2">
      <c r="A77" t="s">
        <v>4</v>
      </c>
      <c r="B77">
        <v>396</v>
      </c>
      <c r="C77">
        <v>849</v>
      </c>
      <c r="D77">
        <v>924</v>
      </c>
      <c r="E77">
        <v>928</v>
      </c>
      <c r="F77">
        <v>681</v>
      </c>
      <c r="G77">
        <v>616</v>
      </c>
      <c r="H77">
        <v>1541</v>
      </c>
      <c r="I77">
        <v>1894</v>
      </c>
      <c r="J77">
        <v>1554</v>
      </c>
      <c r="K77">
        <v>1533</v>
      </c>
      <c r="L77">
        <v>1347</v>
      </c>
      <c r="M77">
        <v>1487</v>
      </c>
      <c r="N77">
        <v>1764</v>
      </c>
      <c r="O77">
        <v>1620</v>
      </c>
      <c r="P77">
        <v>1463</v>
      </c>
      <c r="Q77">
        <v>1704</v>
      </c>
      <c r="R77">
        <v>1509</v>
      </c>
      <c r="S77">
        <v>1948</v>
      </c>
      <c r="T77">
        <v>2121</v>
      </c>
      <c r="U77">
        <v>4610</v>
      </c>
      <c r="V77">
        <v>3795</v>
      </c>
      <c r="W77">
        <v>6943</v>
      </c>
    </row>
    <row r="78" spans="1:29" x14ac:dyDescent="0.2">
      <c r="A78" t="s">
        <v>5</v>
      </c>
      <c r="B78">
        <v>396</v>
      </c>
      <c r="C78">
        <v>849</v>
      </c>
      <c r="D78">
        <v>924</v>
      </c>
      <c r="E78">
        <v>928</v>
      </c>
      <c r="F78">
        <v>681</v>
      </c>
      <c r="G78">
        <v>616</v>
      </c>
      <c r="H78">
        <v>1541</v>
      </c>
      <c r="I78">
        <v>1894</v>
      </c>
      <c r="J78">
        <v>1554</v>
      </c>
      <c r="K78">
        <v>1533</v>
      </c>
      <c r="L78">
        <v>1347</v>
      </c>
      <c r="M78">
        <v>1487</v>
      </c>
      <c r="N78">
        <v>1764</v>
      </c>
      <c r="O78">
        <v>1620</v>
      </c>
      <c r="P78">
        <v>1463</v>
      </c>
      <c r="Q78">
        <v>1704</v>
      </c>
      <c r="R78">
        <v>1509</v>
      </c>
      <c r="S78">
        <v>1948</v>
      </c>
      <c r="T78">
        <v>2121</v>
      </c>
      <c r="U78">
        <v>4610</v>
      </c>
      <c r="V78">
        <v>3795</v>
      </c>
      <c r="W78">
        <v>6943</v>
      </c>
    </row>
    <row r="79" spans="1:29" x14ac:dyDescent="0.2">
      <c r="A79" t="s">
        <v>6</v>
      </c>
      <c r="B79">
        <v>396</v>
      </c>
      <c r="C79">
        <v>849</v>
      </c>
      <c r="D79">
        <v>924</v>
      </c>
      <c r="E79">
        <v>928</v>
      </c>
      <c r="F79">
        <v>681</v>
      </c>
      <c r="G79">
        <v>616</v>
      </c>
      <c r="H79">
        <v>1541</v>
      </c>
      <c r="I79">
        <v>1894</v>
      </c>
      <c r="J79">
        <v>1554</v>
      </c>
      <c r="K79">
        <v>1535</v>
      </c>
      <c r="L79">
        <v>1347</v>
      </c>
      <c r="M79">
        <v>1487</v>
      </c>
      <c r="N79">
        <v>1764</v>
      </c>
      <c r="O79">
        <v>1620</v>
      </c>
      <c r="P79">
        <v>1463</v>
      </c>
      <c r="Q79">
        <v>1704</v>
      </c>
      <c r="R79">
        <v>1509</v>
      </c>
      <c r="S79">
        <v>1948</v>
      </c>
      <c r="T79">
        <v>2121</v>
      </c>
      <c r="U79">
        <v>4610</v>
      </c>
      <c r="V79">
        <v>3795</v>
      </c>
      <c r="W79">
        <v>6943</v>
      </c>
    </row>
    <row r="80" spans="1:29" x14ac:dyDescent="0.2">
      <c r="A80" t="s">
        <v>7</v>
      </c>
      <c r="B80">
        <v>396</v>
      </c>
      <c r="C80">
        <v>849</v>
      </c>
      <c r="D80">
        <v>924</v>
      </c>
      <c r="E80">
        <v>928</v>
      </c>
      <c r="F80">
        <v>681</v>
      </c>
      <c r="G80">
        <v>616</v>
      </c>
      <c r="H80">
        <v>1541</v>
      </c>
      <c r="I80">
        <v>1894</v>
      </c>
      <c r="J80">
        <v>1554</v>
      </c>
      <c r="K80">
        <v>1533</v>
      </c>
      <c r="L80">
        <v>1347</v>
      </c>
      <c r="M80">
        <v>1489</v>
      </c>
      <c r="N80">
        <v>1764</v>
      </c>
      <c r="O80">
        <v>1620</v>
      </c>
      <c r="P80">
        <v>1463</v>
      </c>
      <c r="Q80">
        <v>1704</v>
      </c>
      <c r="R80">
        <v>1509</v>
      </c>
      <c r="S80">
        <v>1948</v>
      </c>
      <c r="T80">
        <v>2121</v>
      </c>
      <c r="U80">
        <v>4610</v>
      </c>
      <c r="V80">
        <v>3795</v>
      </c>
      <c r="W80">
        <v>6943</v>
      </c>
    </row>
    <row r="81" spans="1:23" x14ac:dyDescent="0.2">
      <c r="A81" t="s">
        <v>8</v>
      </c>
      <c r="B81">
        <v>396</v>
      </c>
      <c r="C81">
        <v>849</v>
      </c>
      <c r="D81">
        <v>924</v>
      </c>
      <c r="E81">
        <v>928</v>
      </c>
      <c r="F81">
        <v>681</v>
      </c>
      <c r="G81">
        <v>616</v>
      </c>
      <c r="H81">
        <v>1541</v>
      </c>
      <c r="I81">
        <v>1894</v>
      </c>
      <c r="J81">
        <v>1554</v>
      </c>
      <c r="K81">
        <v>1535</v>
      </c>
      <c r="L81">
        <v>1347</v>
      </c>
      <c r="M81">
        <v>1487</v>
      </c>
      <c r="N81">
        <v>1764</v>
      </c>
      <c r="O81">
        <v>1620</v>
      </c>
      <c r="P81">
        <v>1463</v>
      </c>
      <c r="Q81">
        <v>1704</v>
      </c>
      <c r="R81">
        <v>1509</v>
      </c>
      <c r="S81">
        <v>1948</v>
      </c>
      <c r="T81">
        <v>2121</v>
      </c>
      <c r="U81">
        <v>4610</v>
      </c>
      <c r="V81">
        <v>3795</v>
      </c>
      <c r="W81">
        <v>6943</v>
      </c>
    </row>
    <row r="82" spans="1:23" x14ac:dyDescent="0.2">
      <c r="A82" t="s">
        <v>9</v>
      </c>
      <c r="B82">
        <v>396</v>
      </c>
      <c r="C82">
        <v>849</v>
      </c>
      <c r="D82">
        <v>924</v>
      </c>
      <c r="E82">
        <v>928</v>
      </c>
      <c r="F82">
        <v>681</v>
      </c>
      <c r="G82">
        <v>616</v>
      </c>
      <c r="H82">
        <v>1541</v>
      </c>
      <c r="I82">
        <v>1894</v>
      </c>
      <c r="J82">
        <v>1554</v>
      </c>
      <c r="K82">
        <v>1535</v>
      </c>
      <c r="L82">
        <v>1347</v>
      </c>
      <c r="M82">
        <v>1487</v>
      </c>
      <c r="N82">
        <v>1764</v>
      </c>
      <c r="O82">
        <v>1620</v>
      </c>
      <c r="P82">
        <v>1463</v>
      </c>
      <c r="Q82">
        <v>1704</v>
      </c>
      <c r="R82">
        <v>1509</v>
      </c>
      <c r="S82">
        <v>1948</v>
      </c>
      <c r="T82">
        <v>2121</v>
      </c>
      <c r="U82">
        <v>4610</v>
      </c>
      <c r="V82">
        <v>3795</v>
      </c>
      <c r="W82">
        <v>6943</v>
      </c>
    </row>
    <row r="83" spans="1:23" x14ac:dyDescent="0.2">
      <c r="A83" t="s">
        <v>10</v>
      </c>
      <c r="B83">
        <v>396</v>
      </c>
      <c r="C83">
        <v>849</v>
      </c>
      <c r="D83">
        <v>924</v>
      </c>
      <c r="E83">
        <v>928</v>
      </c>
      <c r="F83">
        <v>681</v>
      </c>
      <c r="G83">
        <v>616</v>
      </c>
      <c r="H83">
        <v>1541</v>
      </c>
      <c r="I83">
        <v>1894</v>
      </c>
      <c r="J83">
        <v>1554</v>
      </c>
      <c r="K83">
        <v>1533</v>
      </c>
      <c r="L83">
        <v>1347</v>
      </c>
      <c r="M83">
        <v>1487</v>
      </c>
      <c r="N83">
        <v>1764</v>
      </c>
      <c r="O83">
        <v>1620</v>
      </c>
      <c r="P83">
        <v>1463</v>
      </c>
      <c r="Q83">
        <v>1704</v>
      </c>
      <c r="R83">
        <v>1509</v>
      </c>
      <c r="S83">
        <v>1948</v>
      </c>
      <c r="T83">
        <v>2121</v>
      </c>
      <c r="U83">
        <v>4610</v>
      </c>
      <c r="V83">
        <v>3795</v>
      </c>
      <c r="W83">
        <v>6943</v>
      </c>
    </row>
    <row r="84" spans="1:23" x14ac:dyDescent="0.2">
      <c r="A84" t="s">
        <v>107</v>
      </c>
      <c r="B84">
        <f>AVERAGE(B74:B83)</f>
        <v>396</v>
      </c>
      <c r="C84">
        <f t="shared" ref="C84:W84" si="4">AVERAGE(C74:C83)</f>
        <v>849</v>
      </c>
      <c r="D84">
        <f t="shared" si="4"/>
        <v>924</v>
      </c>
      <c r="E84">
        <f t="shared" si="4"/>
        <v>928</v>
      </c>
      <c r="F84">
        <f t="shared" si="4"/>
        <v>681</v>
      </c>
      <c r="G84">
        <f t="shared" si="4"/>
        <v>616</v>
      </c>
      <c r="H84">
        <f t="shared" si="4"/>
        <v>1541</v>
      </c>
      <c r="I84">
        <f t="shared" si="4"/>
        <v>1894</v>
      </c>
      <c r="J84">
        <f t="shared" si="4"/>
        <v>1554</v>
      </c>
      <c r="K84">
        <f t="shared" si="4"/>
        <v>1533.8</v>
      </c>
      <c r="L84">
        <f t="shared" si="4"/>
        <v>1347</v>
      </c>
      <c r="M84">
        <f t="shared" si="4"/>
        <v>1487.2</v>
      </c>
      <c r="N84">
        <f t="shared" si="4"/>
        <v>1764</v>
      </c>
      <c r="O84">
        <f t="shared" si="4"/>
        <v>1620</v>
      </c>
      <c r="P84">
        <f t="shared" si="4"/>
        <v>1463</v>
      </c>
      <c r="Q84">
        <f t="shared" si="4"/>
        <v>1704</v>
      </c>
      <c r="R84">
        <f t="shared" si="4"/>
        <v>1509</v>
      </c>
      <c r="S84">
        <f t="shared" si="4"/>
        <v>1948</v>
      </c>
      <c r="T84">
        <f t="shared" si="4"/>
        <v>2121</v>
      </c>
      <c r="U84">
        <f t="shared" si="4"/>
        <v>4614.1000000000004</v>
      </c>
      <c r="V84">
        <f t="shared" si="4"/>
        <v>3795</v>
      </c>
      <c r="W84">
        <f t="shared" si="4"/>
        <v>6943</v>
      </c>
    </row>
    <row r="89" spans="1:23" x14ac:dyDescent="0.2">
      <c r="B89" t="s">
        <v>49</v>
      </c>
      <c r="C89" t="s">
        <v>50</v>
      </c>
      <c r="D89" t="s">
        <v>51</v>
      </c>
      <c r="E89" t="s">
        <v>52</v>
      </c>
      <c r="F89" t="s">
        <v>53</v>
      </c>
      <c r="G89" t="s">
        <v>54</v>
      </c>
      <c r="H89" t="s">
        <v>55</v>
      </c>
      <c r="I89" t="s">
        <v>56</v>
      </c>
      <c r="J89" t="s">
        <v>57</v>
      </c>
      <c r="K89" t="s">
        <v>58</v>
      </c>
      <c r="L89" t="s">
        <v>59</v>
      </c>
      <c r="M89" t="s">
        <v>60</v>
      </c>
      <c r="N89" t="s">
        <v>61</v>
      </c>
      <c r="O89" t="s">
        <v>62</v>
      </c>
      <c r="P89" t="s">
        <v>63</v>
      </c>
      <c r="Q89" t="s">
        <v>64</v>
      </c>
      <c r="R89" t="s">
        <v>65</v>
      </c>
      <c r="S89" t="s">
        <v>66</v>
      </c>
      <c r="T89" t="s">
        <v>67</v>
      </c>
      <c r="U89" t="s">
        <v>68</v>
      </c>
      <c r="V89" t="s">
        <v>69</v>
      </c>
      <c r="W89" t="s">
        <v>70</v>
      </c>
    </row>
    <row r="90" spans="1:23" x14ac:dyDescent="0.2"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</row>
    <row r="91" spans="1:23" x14ac:dyDescent="0.2">
      <c r="A91" t="s">
        <v>1</v>
      </c>
      <c r="B91">
        <v>1.2999999999999999E-2</v>
      </c>
      <c r="C91">
        <v>6.0000000000000001E-3</v>
      </c>
      <c r="D91">
        <v>1.6E-2</v>
      </c>
      <c r="E91">
        <v>4.0000000000000001E-3</v>
      </c>
      <c r="F91">
        <v>2.5999999999999999E-2</v>
      </c>
      <c r="G91">
        <v>2.9000000000000001E-2</v>
      </c>
      <c r="H91">
        <v>5.3999999999999999E-2</v>
      </c>
      <c r="I91">
        <v>0.158</v>
      </c>
      <c r="J91">
        <v>0.66700000000000004</v>
      </c>
      <c r="K91">
        <v>14.555</v>
      </c>
      <c r="L91">
        <v>0.121</v>
      </c>
      <c r="M91">
        <v>10.381</v>
      </c>
      <c r="N91">
        <v>8.2000000000000003E-2</v>
      </c>
      <c r="O91">
        <v>1.2999999999999999E-2</v>
      </c>
      <c r="P91">
        <v>0.14000000000000001</v>
      </c>
      <c r="Q91">
        <v>0.157</v>
      </c>
      <c r="R91">
        <v>4.8689999999999998</v>
      </c>
      <c r="S91">
        <v>0.95099999999999996</v>
      </c>
      <c r="T91">
        <v>1.7889999999999999</v>
      </c>
      <c r="U91">
        <v>16.294</v>
      </c>
      <c r="V91">
        <v>3.7250000000000001</v>
      </c>
      <c r="W91">
        <v>18.286000000000001</v>
      </c>
    </row>
    <row r="92" spans="1:23" x14ac:dyDescent="0.2">
      <c r="A92" t="s">
        <v>2</v>
      </c>
      <c r="B92">
        <v>0</v>
      </c>
      <c r="C92">
        <v>0</v>
      </c>
      <c r="D92">
        <v>5.0000000000000001E-3</v>
      </c>
      <c r="E92">
        <v>0</v>
      </c>
      <c r="F92">
        <v>4.2000000000000003E-2</v>
      </c>
      <c r="G92">
        <v>0.46200000000000002</v>
      </c>
      <c r="H92">
        <v>8.0000000000000002E-3</v>
      </c>
      <c r="I92">
        <v>5.0999999999999997E-2</v>
      </c>
      <c r="J92">
        <v>0.29199999999999998</v>
      </c>
      <c r="K92">
        <v>4.9569999999999999</v>
      </c>
      <c r="L92">
        <v>7.1999999999999995E-2</v>
      </c>
      <c r="M92">
        <v>4.2530000000000001</v>
      </c>
      <c r="N92">
        <v>4.4999999999999998E-2</v>
      </c>
      <c r="O92">
        <v>1.7999999999999999E-2</v>
      </c>
      <c r="P92">
        <v>6.5000000000000002E-2</v>
      </c>
      <c r="Q92">
        <v>2.9000000000000001E-2</v>
      </c>
      <c r="R92">
        <v>8.9990000000000006</v>
      </c>
      <c r="S92">
        <v>10.317</v>
      </c>
      <c r="T92">
        <v>3.327</v>
      </c>
      <c r="U92">
        <v>1.3</v>
      </c>
      <c r="V92">
        <v>2.9340000000000002</v>
      </c>
      <c r="W92">
        <v>18.986999999999998</v>
      </c>
    </row>
    <row r="93" spans="1:23" x14ac:dyDescent="0.2">
      <c r="A93" t="s">
        <v>3</v>
      </c>
      <c r="B93">
        <v>5.0000000000000001E-3</v>
      </c>
      <c r="C93">
        <v>3.0000000000000001E-3</v>
      </c>
      <c r="D93">
        <v>8.9999999999999993E-3</v>
      </c>
      <c r="E93">
        <v>0</v>
      </c>
      <c r="F93">
        <v>3.5000000000000003E-2</v>
      </c>
      <c r="G93">
        <v>0.74399999999999999</v>
      </c>
      <c r="H93">
        <v>0.1</v>
      </c>
      <c r="I93">
        <v>0.64900000000000002</v>
      </c>
      <c r="J93">
        <v>9.7000000000000003E-2</v>
      </c>
      <c r="K93">
        <v>0.93</v>
      </c>
      <c r="L93">
        <v>8.6999999999999994E-2</v>
      </c>
      <c r="M93">
        <v>1.2589999999999999</v>
      </c>
      <c r="N93">
        <v>0.55400000000000005</v>
      </c>
      <c r="O93">
        <v>1.4E-2</v>
      </c>
      <c r="P93">
        <v>8.5999999999999993E-2</v>
      </c>
      <c r="Q93">
        <v>7.2999999999999995E-2</v>
      </c>
      <c r="R93">
        <v>0.111</v>
      </c>
      <c r="S93">
        <v>0.92500000000000004</v>
      </c>
      <c r="T93">
        <v>2.8559999999999999</v>
      </c>
      <c r="U93">
        <v>23.7</v>
      </c>
      <c r="V93">
        <v>3.4209999999999998</v>
      </c>
      <c r="W93">
        <v>15.744</v>
      </c>
    </row>
    <row r="94" spans="1:23" x14ac:dyDescent="0.2">
      <c r="A94" t="s">
        <v>4</v>
      </c>
      <c r="B94">
        <v>0</v>
      </c>
      <c r="C94">
        <v>2E-3</v>
      </c>
      <c r="D94">
        <v>2E-3</v>
      </c>
      <c r="E94">
        <v>4.0000000000000001E-3</v>
      </c>
      <c r="F94">
        <v>7.0000000000000001E-3</v>
      </c>
      <c r="G94">
        <v>6.4000000000000001E-2</v>
      </c>
      <c r="H94">
        <v>0.436</v>
      </c>
      <c r="I94">
        <v>5.7000000000000002E-2</v>
      </c>
      <c r="J94">
        <v>0.13900000000000001</v>
      </c>
      <c r="K94">
        <v>9.6959999999999997</v>
      </c>
      <c r="L94">
        <v>7.5999999999999998E-2</v>
      </c>
      <c r="M94">
        <v>18.09</v>
      </c>
      <c r="N94">
        <v>4.4999999999999998E-2</v>
      </c>
      <c r="O94">
        <v>2.1000000000000001E-2</v>
      </c>
      <c r="P94">
        <v>1.171</v>
      </c>
      <c r="Q94">
        <v>6.9000000000000006E-2</v>
      </c>
      <c r="R94">
        <v>7.2999999999999995E-2</v>
      </c>
      <c r="S94">
        <v>0.18099999999999999</v>
      </c>
      <c r="T94">
        <v>9.7000000000000003E-2</v>
      </c>
      <c r="U94">
        <v>4.5810000000000004</v>
      </c>
      <c r="V94">
        <v>7.6859999999999999</v>
      </c>
      <c r="W94">
        <v>20.018999999999998</v>
      </c>
    </row>
    <row r="95" spans="1:23" x14ac:dyDescent="0.2">
      <c r="A95" t="s">
        <v>5</v>
      </c>
      <c r="B95">
        <v>1E-3</v>
      </c>
      <c r="C95">
        <v>5.0000000000000001E-3</v>
      </c>
      <c r="D95">
        <v>7.0000000000000001E-3</v>
      </c>
      <c r="E95">
        <v>3.0000000000000001E-3</v>
      </c>
      <c r="F95">
        <v>1.4E-2</v>
      </c>
      <c r="G95">
        <v>0.27400000000000002</v>
      </c>
      <c r="H95">
        <v>0.373</v>
      </c>
      <c r="I95">
        <v>4.7E-2</v>
      </c>
      <c r="J95">
        <v>0.20399999999999999</v>
      </c>
      <c r="K95">
        <v>0.21099999999999999</v>
      </c>
      <c r="L95">
        <v>0.153</v>
      </c>
      <c r="M95">
        <v>2.073</v>
      </c>
      <c r="N95">
        <v>4.2999999999999997E-2</v>
      </c>
      <c r="O95">
        <v>4.3999999999999997E-2</v>
      </c>
      <c r="P95">
        <v>2.875</v>
      </c>
      <c r="Q95">
        <v>6.0999999999999999E-2</v>
      </c>
      <c r="R95">
        <v>3.1059999999999999</v>
      </c>
      <c r="S95">
        <v>0.76700000000000002</v>
      </c>
      <c r="T95">
        <v>1.585</v>
      </c>
      <c r="U95">
        <v>12.223000000000001</v>
      </c>
      <c r="V95">
        <v>16.280999999999999</v>
      </c>
      <c r="W95">
        <v>19.032</v>
      </c>
    </row>
    <row r="96" spans="1:23" x14ac:dyDescent="0.2">
      <c r="A96" t="s">
        <v>6</v>
      </c>
      <c r="B96">
        <v>2E-3</v>
      </c>
      <c r="C96">
        <v>2E-3</v>
      </c>
      <c r="D96">
        <v>1.4E-2</v>
      </c>
      <c r="E96">
        <v>0</v>
      </c>
      <c r="F96">
        <v>8.0000000000000002E-3</v>
      </c>
      <c r="G96">
        <v>1.6220000000000001</v>
      </c>
      <c r="H96">
        <v>0.50700000000000001</v>
      </c>
      <c r="I96">
        <v>0.14699999999999999</v>
      </c>
      <c r="J96">
        <v>0.29099999999999998</v>
      </c>
      <c r="K96">
        <v>8.3800000000000008</v>
      </c>
      <c r="L96">
        <v>7.9000000000000001E-2</v>
      </c>
      <c r="M96">
        <v>20.937999999999999</v>
      </c>
      <c r="N96">
        <v>1.4E-2</v>
      </c>
      <c r="O96">
        <v>2.1999999999999999E-2</v>
      </c>
      <c r="P96">
        <v>4.5209999999999999</v>
      </c>
      <c r="Q96">
        <v>3.9E-2</v>
      </c>
      <c r="R96">
        <v>14.016</v>
      </c>
      <c r="S96">
        <v>7.6660000000000004</v>
      </c>
      <c r="T96">
        <v>1.3720000000000001</v>
      </c>
      <c r="U96">
        <v>25.92</v>
      </c>
      <c r="V96">
        <v>9.6609999999999996</v>
      </c>
      <c r="W96">
        <v>27.885999999999999</v>
      </c>
    </row>
    <row r="97" spans="1:24" x14ac:dyDescent="0.2">
      <c r="A97" t="s">
        <v>7</v>
      </c>
      <c r="B97">
        <v>0</v>
      </c>
      <c r="C97">
        <v>4.0000000000000001E-3</v>
      </c>
      <c r="D97">
        <v>8.0000000000000002E-3</v>
      </c>
      <c r="E97">
        <v>4.0000000000000001E-3</v>
      </c>
      <c r="F97">
        <v>1.6E-2</v>
      </c>
      <c r="G97">
        <v>1.831</v>
      </c>
      <c r="H97">
        <v>0.34899999999999998</v>
      </c>
      <c r="I97">
        <v>1.2999999999999999E-2</v>
      </c>
      <c r="J97">
        <v>0.10100000000000001</v>
      </c>
      <c r="K97">
        <v>36.037999999999997</v>
      </c>
      <c r="L97">
        <v>0.28100000000000003</v>
      </c>
      <c r="M97">
        <v>6.0060000000000002</v>
      </c>
      <c r="N97">
        <v>1.7999999999999999E-2</v>
      </c>
      <c r="O97">
        <v>1.6E-2</v>
      </c>
      <c r="P97">
        <v>3.58</v>
      </c>
      <c r="Q97">
        <v>0.109</v>
      </c>
      <c r="R97">
        <v>8.2000000000000003E-2</v>
      </c>
      <c r="S97">
        <v>10.161</v>
      </c>
      <c r="T97">
        <v>2.859</v>
      </c>
      <c r="U97">
        <v>16.292999999999999</v>
      </c>
      <c r="V97">
        <v>15.352</v>
      </c>
      <c r="W97">
        <v>1.1000000000000001</v>
      </c>
    </row>
    <row r="98" spans="1:24" x14ac:dyDescent="0.2">
      <c r="A98" t="s">
        <v>8</v>
      </c>
      <c r="B98">
        <v>2E-3</v>
      </c>
      <c r="C98">
        <v>5.0000000000000001E-3</v>
      </c>
      <c r="D98">
        <v>8.0000000000000002E-3</v>
      </c>
      <c r="E98">
        <v>5.0000000000000001E-3</v>
      </c>
      <c r="F98">
        <v>1.4999999999999999E-2</v>
      </c>
      <c r="G98">
        <v>0.623</v>
      </c>
      <c r="H98">
        <v>0.26800000000000002</v>
      </c>
      <c r="I98">
        <v>0.90700000000000003</v>
      </c>
      <c r="J98">
        <v>0.26900000000000002</v>
      </c>
      <c r="K98">
        <v>19.562000000000001</v>
      </c>
      <c r="L98">
        <v>5.8000000000000003E-2</v>
      </c>
      <c r="M98">
        <v>0.56499999999999995</v>
      </c>
      <c r="N98">
        <v>7.0999999999999994E-2</v>
      </c>
      <c r="O98">
        <v>0.03</v>
      </c>
      <c r="P98">
        <v>5.8869999999999996</v>
      </c>
      <c r="Q98">
        <v>3.6999999999999998E-2</v>
      </c>
      <c r="R98">
        <v>0.86299999999999999</v>
      </c>
      <c r="S98">
        <v>0.72</v>
      </c>
      <c r="T98">
        <v>0.81599999999999995</v>
      </c>
      <c r="U98">
        <v>12.88</v>
      </c>
      <c r="V98">
        <v>5.5739999999999998</v>
      </c>
      <c r="W98">
        <v>9.5719999999999992</v>
      </c>
    </row>
    <row r="99" spans="1:24" x14ac:dyDescent="0.2">
      <c r="A99" t="s">
        <v>9</v>
      </c>
      <c r="B99">
        <v>5.0000000000000001E-3</v>
      </c>
      <c r="C99">
        <v>4.0000000000000001E-3</v>
      </c>
      <c r="D99">
        <v>8.0000000000000002E-3</v>
      </c>
      <c r="E99">
        <v>3.0000000000000001E-3</v>
      </c>
      <c r="F99">
        <v>1.2E-2</v>
      </c>
      <c r="G99">
        <v>1.363</v>
      </c>
      <c r="H99">
        <v>0.43</v>
      </c>
      <c r="I99">
        <v>4.1000000000000002E-2</v>
      </c>
      <c r="J99">
        <v>0.21099999999999999</v>
      </c>
      <c r="K99">
        <v>0.75</v>
      </c>
      <c r="L99">
        <v>2.8000000000000001E-2</v>
      </c>
      <c r="M99">
        <v>30.648</v>
      </c>
      <c r="N99">
        <v>7.4999999999999997E-2</v>
      </c>
      <c r="O99">
        <v>2.7E-2</v>
      </c>
      <c r="P99">
        <v>7.4249999999999998</v>
      </c>
      <c r="Q99">
        <v>5.8999999999999997E-2</v>
      </c>
      <c r="R99">
        <v>3.8769999999999998</v>
      </c>
      <c r="S99">
        <v>9.5000000000000001E-2</v>
      </c>
      <c r="T99">
        <v>7.1999999999999995E-2</v>
      </c>
      <c r="U99">
        <v>6.218</v>
      </c>
      <c r="V99">
        <v>5.1550000000000002</v>
      </c>
      <c r="W99">
        <v>8.2970000000000006</v>
      </c>
    </row>
    <row r="100" spans="1:24" x14ac:dyDescent="0.2">
      <c r="A100" t="s">
        <v>10</v>
      </c>
      <c r="B100">
        <v>3.0000000000000001E-3</v>
      </c>
      <c r="C100">
        <v>1.4E-2</v>
      </c>
      <c r="D100">
        <v>6.0000000000000001E-3</v>
      </c>
      <c r="E100">
        <v>6.0000000000000001E-3</v>
      </c>
      <c r="F100">
        <v>0.01</v>
      </c>
      <c r="G100">
        <v>2.1999999999999999E-2</v>
      </c>
      <c r="H100">
        <v>0.2</v>
      </c>
      <c r="I100">
        <v>0.26900000000000002</v>
      </c>
      <c r="J100">
        <v>0.3</v>
      </c>
      <c r="K100">
        <v>19.699000000000002</v>
      </c>
      <c r="L100">
        <v>5.5E-2</v>
      </c>
      <c r="M100">
        <v>0.115</v>
      </c>
      <c r="N100">
        <v>4.3999999999999997E-2</v>
      </c>
      <c r="O100">
        <v>1.2E-2</v>
      </c>
      <c r="P100">
        <v>7.3280000000000003</v>
      </c>
      <c r="Q100">
        <v>0.94299999999999995</v>
      </c>
      <c r="R100">
        <v>5.6890000000000001</v>
      </c>
      <c r="S100">
        <v>5.2430000000000003</v>
      </c>
      <c r="T100">
        <v>1.3140000000000001</v>
      </c>
      <c r="U100">
        <v>2.6459999999999999</v>
      </c>
      <c r="V100">
        <v>2.7280000000000002</v>
      </c>
      <c r="W100">
        <v>18.134</v>
      </c>
    </row>
    <row r="101" spans="1:24" x14ac:dyDescent="0.2">
      <c r="A101" t="s">
        <v>107</v>
      </c>
      <c r="B101" s="1">
        <f>AVERAGE(B91:B100)</f>
        <v>3.0999999999999999E-3</v>
      </c>
      <c r="C101" s="1">
        <f t="shared" ref="C101:W101" si="5">AVERAGE(C91:C100)</f>
        <v>4.5000000000000005E-3</v>
      </c>
      <c r="D101" s="1">
        <f t="shared" si="5"/>
        <v>8.3000000000000018E-3</v>
      </c>
      <c r="E101" s="1">
        <f t="shared" si="5"/>
        <v>2.8999999999999998E-3</v>
      </c>
      <c r="F101" s="1">
        <f t="shared" si="5"/>
        <v>1.8500000000000006E-2</v>
      </c>
      <c r="G101" s="1">
        <f t="shared" si="5"/>
        <v>0.70340000000000003</v>
      </c>
      <c r="H101" s="1">
        <f t="shared" si="5"/>
        <v>0.27250000000000002</v>
      </c>
      <c r="I101" s="1">
        <f t="shared" si="5"/>
        <v>0.2339</v>
      </c>
      <c r="J101" s="1">
        <f t="shared" si="5"/>
        <v>0.2571</v>
      </c>
      <c r="K101" s="1">
        <f t="shared" si="5"/>
        <v>11.477799999999998</v>
      </c>
      <c r="L101" s="1">
        <f t="shared" si="5"/>
        <v>0.10100000000000001</v>
      </c>
      <c r="M101" s="1">
        <f t="shared" si="5"/>
        <v>9.4327999999999985</v>
      </c>
      <c r="N101" s="1">
        <f t="shared" si="5"/>
        <v>9.9100000000000008E-2</v>
      </c>
      <c r="O101" s="1">
        <f t="shared" si="5"/>
        <v>2.1700000000000004E-2</v>
      </c>
      <c r="P101" s="1">
        <f t="shared" si="5"/>
        <v>3.3078000000000003</v>
      </c>
      <c r="Q101" s="1">
        <f t="shared" si="5"/>
        <v>0.15760000000000002</v>
      </c>
      <c r="R101" s="1">
        <f t="shared" si="5"/>
        <v>4.1684999999999999</v>
      </c>
      <c r="S101" s="1">
        <f t="shared" si="5"/>
        <v>3.7026000000000003</v>
      </c>
      <c r="T101" s="1">
        <f t="shared" si="5"/>
        <v>1.6087</v>
      </c>
      <c r="U101" s="1">
        <f t="shared" si="5"/>
        <v>12.205500000000001</v>
      </c>
      <c r="V101" s="1">
        <f t="shared" si="5"/>
        <v>7.2516999999999996</v>
      </c>
      <c r="W101" s="1">
        <f t="shared" si="5"/>
        <v>15.705699999999997</v>
      </c>
      <c r="X101" s="1">
        <f>AVERAGE(B101:W101)</f>
        <v>3.2156681818181814</v>
      </c>
    </row>
    <row r="107" spans="1:24" x14ac:dyDescent="0.2">
      <c r="B107" s="4" t="s">
        <v>71</v>
      </c>
      <c r="C107" s="4"/>
      <c r="D107" s="4" t="s">
        <v>72</v>
      </c>
      <c r="E107" s="4"/>
      <c r="F107" s="4" t="s">
        <v>73</v>
      </c>
      <c r="G107" s="4"/>
    </row>
    <row r="108" spans="1:24" x14ac:dyDescent="0.2">
      <c r="B108" t="s">
        <v>11</v>
      </c>
      <c r="C108" t="s">
        <v>0</v>
      </c>
      <c r="D108" t="s">
        <v>11</v>
      </c>
      <c r="E108" t="s">
        <v>0</v>
      </c>
      <c r="F108" t="s">
        <v>11</v>
      </c>
      <c r="G108" t="s">
        <v>0</v>
      </c>
    </row>
    <row r="109" spans="1:24" x14ac:dyDescent="0.2">
      <c r="A109" t="s">
        <v>1</v>
      </c>
      <c r="B109">
        <v>3565</v>
      </c>
      <c r="C109">
        <v>0.6</v>
      </c>
      <c r="D109">
        <v>7223</v>
      </c>
      <c r="E109">
        <v>38.700000000000003</v>
      </c>
      <c r="F109">
        <v>4917</v>
      </c>
      <c r="G109">
        <v>38.036000000000001</v>
      </c>
    </row>
    <row r="110" spans="1:24" x14ac:dyDescent="0.2">
      <c r="A110" t="s">
        <v>2</v>
      </c>
      <c r="B110">
        <v>3565</v>
      </c>
      <c r="C110">
        <v>9.9440000000000008</v>
      </c>
      <c r="D110">
        <v>7223</v>
      </c>
      <c r="E110">
        <v>35.200000000000003</v>
      </c>
      <c r="F110">
        <v>4917</v>
      </c>
      <c r="G110">
        <v>1.9890000000000001</v>
      </c>
    </row>
    <row r="111" spans="1:24" x14ac:dyDescent="0.2">
      <c r="A111" t="s">
        <v>3</v>
      </c>
      <c r="B111">
        <v>3565</v>
      </c>
      <c r="C111">
        <v>0.43099999999999999</v>
      </c>
      <c r="D111">
        <v>7223</v>
      </c>
      <c r="E111">
        <v>38</v>
      </c>
      <c r="F111">
        <v>4917</v>
      </c>
      <c r="G111">
        <v>0.70899999999999996</v>
      </c>
    </row>
    <row r="112" spans="1:24" x14ac:dyDescent="0.2">
      <c r="A112" t="s">
        <v>4</v>
      </c>
      <c r="B112">
        <v>3565</v>
      </c>
      <c r="C112">
        <v>18.347000000000001</v>
      </c>
      <c r="D112">
        <v>7229</v>
      </c>
      <c r="E112">
        <v>19.100000000000001</v>
      </c>
      <c r="F112">
        <v>4917</v>
      </c>
      <c r="G112">
        <v>5.5060000000000002</v>
      </c>
    </row>
    <row r="113" spans="1:12" x14ac:dyDescent="0.2">
      <c r="A113" t="s">
        <v>5</v>
      </c>
      <c r="B113">
        <v>3565</v>
      </c>
      <c r="C113">
        <v>4.1440000000000001</v>
      </c>
      <c r="D113">
        <v>7223</v>
      </c>
      <c r="E113">
        <v>47.09</v>
      </c>
      <c r="F113">
        <v>4917</v>
      </c>
      <c r="G113">
        <v>13.714</v>
      </c>
    </row>
    <row r="114" spans="1:12" x14ac:dyDescent="0.2">
      <c r="A114" t="s">
        <v>6</v>
      </c>
      <c r="B114">
        <v>3565</v>
      </c>
      <c r="C114">
        <v>0.9</v>
      </c>
      <c r="D114">
        <v>7223</v>
      </c>
      <c r="E114">
        <v>12.327999999999999</v>
      </c>
      <c r="F114">
        <v>4917</v>
      </c>
      <c r="G114">
        <v>5.0110000000000001</v>
      </c>
    </row>
    <row r="115" spans="1:12" x14ac:dyDescent="0.2">
      <c r="A115" t="s">
        <v>7</v>
      </c>
      <c r="B115">
        <v>3565</v>
      </c>
      <c r="C115">
        <v>0.39600000000000002</v>
      </c>
      <c r="D115">
        <v>7231</v>
      </c>
      <c r="E115">
        <v>41.994999999999997</v>
      </c>
      <c r="F115">
        <v>4917</v>
      </c>
      <c r="G115">
        <v>1.1299999999999999</v>
      </c>
    </row>
    <row r="116" spans="1:12" x14ac:dyDescent="0.2">
      <c r="A116" t="s">
        <v>8</v>
      </c>
      <c r="B116">
        <v>3565</v>
      </c>
      <c r="C116">
        <v>0.4</v>
      </c>
      <c r="D116">
        <v>7223</v>
      </c>
      <c r="E116">
        <v>12.596</v>
      </c>
      <c r="F116">
        <v>4917</v>
      </c>
      <c r="G116">
        <v>0.70799999999999996</v>
      </c>
    </row>
    <row r="117" spans="1:12" x14ac:dyDescent="0.2">
      <c r="A117" t="s">
        <v>9</v>
      </c>
      <c r="B117">
        <v>3565</v>
      </c>
      <c r="C117">
        <v>0.377</v>
      </c>
      <c r="D117">
        <v>7228</v>
      </c>
      <c r="E117">
        <v>39.347999999999999</v>
      </c>
      <c r="F117">
        <v>4917</v>
      </c>
      <c r="G117">
        <v>5.7960000000000003</v>
      </c>
    </row>
    <row r="118" spans="1:12" x14ac:dyDescent="0.2">
      <c r="A118" t="s">
        <v>10</v>
      </c>
      <c r="B118">
        <v>3565</v>
      </c>
      <c r="C118">
        <v>4.6159999999999997</v>
      </c>
      <c r="D118">
        <v>7223</v>
      </c>
      <c r="E118">
        <v>40.006</v>
      </c>
      <c r="F118">
        <v>4917</v>
      </c>
      <c r="G118">
        <v>10.106</v>
      </c>
    </row>
    <row r="119" spans="1:12" x14ac:dyDescent="0.2">
      <c r="A119" t="s">
        <v>107</v>
      </c>
      <c r="B119" s="1">
        <f>AVERAGE(B109:B118)</f>
        <v>3565</v>
      </c>
      <c r="C119" s="1">
        <f t="shared" ref="C119:G119" si="6">AVERAGE(C109:C118)</f>
        <v>4.0155000000000003</v>
      </c>
      <c r="D119" s="1">
        <f t="shared" si="6"/>
        <v>7224.9</v>
      </c>
      <c r="E119" s="1">
        <f t="shared" si="6"/>
        <v>32.436300000000003</v>
      </c>
      <c r="F119" s="1">
        <f t="shared" si="6"/>
        <v>4917</v>
      </c>
      <c r="G119" s="1">
        <f t="shared" si="6"/>
        <v>8.2705000000000002</v>
      </c>
    </row>
    <row r="125" spans="1:12" x14ac:dyDescent="0.2">
      <c r="B125" t="s">
        <v>74</v>
      </c>
      <c r="C125" t="s">
        <v>75</v>
      </c>
      <c r="D125" t="s">
        <v>76</v>
      </c>
      <c r="E125" t="s">
        <v>77</v>
      </c>
      <c r="F125" t="s">
        <v>78</v>
      </c>
      <c r="G125" t="s">
        <v>79</v>
      </c>
      <c r="H125" t="s">
        <v>80</v>
      </c>
      <c r="I125" t="s">
        <v>81</v>
      </c>
      <c r="J125" t="s">
        <v>82</v>
      </c>
      <c r="K125" t="s">
        <v>83</v>
      </c>
      <c r="L125" t="s">
        <v>84</v>
      </c>
    </row>
    <row r="126" spans="1:12" x14ac:dyDescent="0.2">
      <c r="B126" t="s">
        <v>11</v>
      </c>
      <c r="C126" t="s">
        <v>11</v>
      </c>
      <c r="D126" t="s">
        <v>11</v>
      </c>
      <c r="E126" t="s">
        <v>11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  <c r="K126" t="s">
        <v>11</v>
      </c>
      <c r="L126" t="s">
        <v>11</v>
      </c>
    </row>
    <row r="127" spans="1:12" x14ac:dyDescent="0.2">
      <c r="A127" t="s">
        <v>1</v>
      </c>
      <c r="B127">
        <v>845</v>
      </c>
      <c r="C127">
        <v>1908</v>
      </c>
      <c r="D127">
        <v>1987</v>
      </c>
      <c r="E127">
        <v>2852</v>
      </c>
      <c r="F127">
        <v>2213</v>
      </c>
      <c r="G127">
        <v>2920</v>
      </c>
      <c r="H127">
        <v>2686</v>
      </c>
      <c r="I127">
        <v>2366</v>
      </c>
      <c r="J127">
        <v>2080</v>
      </c>
      <c r="K127">
        <v>3954</v>
      </c>
      <c r="L127">
        <v>2955</v>
      </c>
    </row>
    <row r="128" spans="1:12" x14ac:dyDescent="0.2">
      <c r="A128" t="s">
        <v>2</v>
      </c>
      <c r="B128">
        <v>845</v>
      </c>
      <c r="C128">
        <v>1908</v>
      </c>
      <c r="D128">
        <v>1987</v>
      </c>
      <c r="E128">
        <v>2852</v>
      </c>
      <c r="F128">
        <v>2213</v>
      </c>
      <c r="G128">
        <v>2920</v>
      </c>
      <c r="H128">
        <v>2686</v>
      </c>
      <c r="I128">
        <v>2366</v>
      </c>
      <c r="J128">
        <v>2080</v>
      </c>
      <c r="K128">
        <v>3954</v>
      </c>
      <c r="L128">
        <v>2955</v>
      </c>
    </row>
    <row r="129" spans="1:12" x14ac:dyDescent="0.2">
      <c r="A129" t="s">
        <v>3</v>
      </c>
      <c r="B129">
        <v>845</v>
      </c>
      <c r="C129">
        <v>1908</v>
      </c>
      <c r="D129">
        <v>1987</v>
      </c>
      <c r="E129">
        <v>2852</v>
      </c>
      <c r="F129">
        <v>2213</v>
      </c>
      <c r="G129">
        <v>2920</v>
      </c>
      <c r="H129">
        <v>2686</v>
      </c>
      <c r="I129">
        <v>2366</v>
      </c>
      <c r="J129">
        <v>2080</v>
      </c>
      <c r="K129">
        <v>3954</v>
      </c>
      <c r="L129">
        <v>2955</v>
      </c>
    </row>
    <row r="130" spans="1:12" x14ac:dyDescent="0.2">
      <c r="A130" t="s">
        <v>4</v>
      </c>
      <c r="B130">
        <v>845</v>
      </c>
      <c r="C130">
        <v>1908</v>
      </c>
      <c r="D130">
        <v>1987</v>
      </c>
      <c r="E130">
        <v>2852</v>
      </c>
      <c r="F130">
        <v>2213</v>
      </c>
      <c r="G130">
        <v>2920</v>
      </c>
      <c r="H130">
        <v>2686</v>
      </c>
      <c r="I130">
        <v>2366</v>
      </c>
      <c r="J130">
        <v>2080</v>
      </c>
      <c r="K130">
        <v>3954</v>
      </c>
      <c r="L130">
        <v>2955</v>
      </c>
    </row>
    <row r="131" spans="1:12" x14ac:dyDescent="0.2">
      <c r="A131" t="s">
        <v>5</v>
      </c>
      <c r="B131">
        <v>845</v>
      </c>
      <c r="C131">
        <v>1908</v>
      </c>
      <c r="D131">
        <v>1987</v>
      </c>
      <c r="E131">
        <v>2852</v>
      </c>
      <c r="F131">
        <v>2213</v>
      </c>
      <c r="G131">
        <v>2920</v>
      </c>
      <c r="H131">
        <v>2686</v>
      </c>
      <c r="I131">
        <v>2366</v>
      </c>
      <c r="J131">
        <v>2080</v>
      </c>
      <c r="K131">
        <v>3954</v>
      </c>
      <c r="L131">
        <v>2955</v>
      </c>
    </row>
    <row r="132" spans="1:12" x14ac:dyDescent="0.2">
      <c r="A132" t="s">
        <v>6</v>
      </c>
      <c r="B132">
        <v>845</v>
      </c>
      <c r="C132">
        <v>1908</v>
      </c>
      <c r="D132">
        <v>1987</v>
      </c>
      <c r="E132">
        <v>2852</v>
      </c>
      <c r="F132">
        <v>2213</v>
      </c>
      <c r="G132">
        <v>2920</v>
      </c>
      <c r="H132">
        <v>2686</v>
      </c>
      <c r="I132">
        <v>2366</v>
      </c>
      <c r="J132">
        <v>2080</v>
      </c>
      <c r="K132">
        <v>3954</v>
      </c>
      <c r="L132">
        <v>2955</v>
      </c>
    </row>
    <row r="133" spans="1:12" x14ac:dyDescent="0.2">
      <c r="A133" t="s">
        <v>7</v>
      </c>
      <c r="B133">
        <v>845</v>
      </c>
      <c r="C133">
        <v>1908</v>
      </c>
      <c r="D133">
        <v>1987</v>
      </c>
      <c r="E133">
        <v>2852</v>
      </c>
      <c r="F133">
        <v>2213</v>
      </c>
      <c r="G133">
        <v>2920</v>
      </c>
      <c r="H133">
        <v>2686</v>
      </c>
      <c r="I133">
        <v>2366</v>
      </c>
      <c r="J133">
        <v>2080</v>
      </c>
      <c r="K133">
        <v>3954</v>
      </c>
      <c r="L133">
        <v>2955</v>
      </c>
    </row>
    <row r="134" spans="1:12" x14ac:dyDescent="0.2">
      <c r="A134" t="s">
        <v>8</v>
      </c>
      <c r="B134">
        <v>845</v>
      </c>
      <c r="C134">
        <v>1908</v>
      </c>
      <c r="D134">
        <v>1987</v>
      </c>
      <c r="E134">
        <v>2852</v>
      </c>
      <c r="F134">
        <v>2213</v>
      </c>
      <c r="G134">
        <v>2920</v>
      </c>
      <c r="H134">
        <v>2686</v>
      </c>
      <c r="I134">
        <v>2366</v>
      </c>
      <c r="J134">
        <v>2080</v>
      </c>
      <c r="K134">
        <v>3954</v>
      </c>
      <c r="L134">
        <v>2955</v>
      </c>
    </row>
    <row r="135" spans="1:12" x14ac:dyDescent="0.2">
      <c r="A135" t="s">
        <v>9</v>
      </c>
      <c r="B135">
        <v>845</v>
      </c>
      <c r="C135">
        <v>1908</v>
      </c>
      <c r="D135">
        <v>1987</v>
      </c>
      <c r="E135">
        <v>2852</v>
      </c>
      <c r="F135">
        <v>2213</v>
      </c>
      <c r="G135">
        <v>2920</v>
      </c>
      <c r="H135">
        <v>2686</v>
      </c>
      <c r="I135">
        <v>2366</v>
      </c>
      <c r="J135">
        <v>2080</v>
      </c>
      <c r="K135">
        <v>3954</v>
      </c>
      <c r="L135">
        <v>2955</v>
      </c>
    </row>
    <row r="136" spans="1:12" x14ac:dyDescent="0.2">
      <c r="A136" t="s">
        <v>10</v>
      </c>
      <c r="B136">
        <v>845</v>
      </c>
      <c r="C136">
        <v>1908</v>
      </c>
      <c r="D136">
        <v>1987</v>
      </c>
      <c r="E136">
        <v>2852</v>
      </c>
      <c r="F136">
        <v>2213</v>
      </c>
      <c r="G136">
        <v>2920</v>
      </c>
      <c r="H136">
        <v>2686</v>
      </c>
      <c r="I136">
        <v>2366</v>
      </c>
      <c r="J136">
        <v>2080</v>
      </c>
      <c r="K136">
        <v>3954</v>
      </c>
      <c r="L136">
        <v>2955</v>
      </c>
    </row>
    <row r="137" spans="1:12" x14ac:dyDescent="0.2">
      <c r="A137" t="s">
        <v>107</v>
      </c>
      <c r="B137">
        <f>AVERAGE(B127:B136)</f>
        <v>845</v>
      </c>
      <c r="C137">
        <f t="shared" ref="C137:L137" si="7">AVERAGE(C127:C136)</f>
        <v>1908</v>
      </c>
      <c r="D137">
        <f t="shared" si="7"/>
        <v>1987</v>
      </c>
      <c r="E137">
        <f t="shared" si="7"/>
        <v>2852</v>
      </c>
      <c r="F137">
        <f t="shared" si="7"/>
        <v>2213</v>
      </c>
      <c r="G137">
        <f t="shared" si="7"/>
        <v>2920</v>
      </c>
      <c r="H137">
        <f t="shared" si="7"/>
        <v>2686</v>
      </c>
      <c r="I137">
        <f t="shared" si="7"/>
        <v>2366</v>
      </c>
      <c r="J137">
        <f t="shared" si="7"/>
        <v>2080</v>
      </c>
      <c r="K137">
        <f t="shared" si="7"/>
        <v>3954</v>
      </c>
      <c r="L137">
        <f t="shared" si="7"/>
        <v>2955</v>
      </c>
    </row>
    <row r="142" spans="1:12" x14ac:dyDescent="0.2">
      <c r="B142" t="s">
        <v>74</v>
      </c>
      <c r="C142" t="s">
        <v>75</v>
      </c>
      <c r="D142" t="s">
        <v>76</v>
      </c>
      <c r="E142" t="s">
        <v>77</v>
      </c>
      <c r="F142" t="s">
        <v>78</v>
      </c>
      <c r="G142" t="s">
        <v>79</v>
      </c>
      <c r="H142" t="s">
        <v>80</v>
      </c>
      <c r="I142" t="s">
        <v>81</v>
      </c>
      <c r="J142" t="s">
        <v>82</v>
      </c>
      <c r="K142" t="s">
        <v>83</v>
      </c>
      <c r="L142" t="s">
        <v>84</v>
      </c>
    </row>
    <row r="143" spans="1:12" x14ac:dyDescent="0.2"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</row>
    <row r="144" spans="1:12" x14ac:dyDescent="0.2">
      <c r="A144" t="s">
        <v>1</v>
      </c>
      <c r="B144">
        <v>0</v>
      </c>
      <c r="C144">
        <v>0.14699999999999999</v>
      </c>
      <c r="D144">
        <v>0.18099999999999999</v>
      </c>
      <c r="E144">
        <v>6.0999999999999999E-2</v>
      </c>
      <c r="F144">
        <v>5.6890000000000001</v>
      </c>
      <c r="G144">
        <v>0.23400000000000001</v>
      </c>
      <c r="H144">
        <v>9.7430000000000003</v>
      </c>
      <c r="I144">
        <v>7.8E-2</v>
      </c>
      <c r="J144">
        <v>1.3540000000000001</v>
      </c>
      <c r="K144">
        <v>0.113</v>
      </c>
      <c r="L144">
        <v>3.4790000000000001</v>
      </c>
    </row>
    <row r="145" spans="1:23" x14ac:dyDescent="0.2">
      <c r="A145" t="s">
        <v>2</v>
      </c>
      <c r="B145">
        <v>1.2999999999999999E-2</v>
      </c>
      <c r="C145">
        <v>8.7999999999999995E-2</v>
      </c>
      <c r="D145">
        <v>2.1999999999999999E-2</v>
      </c>
      <c r="E145">
        <v>1.4E-2</v>
      </c>
      <c r="F145">
        <v>0.50800000000000001</v>
      </c>
      <c r="G145">
        <v>0.61</v>
      </c>
      <c r="H145">
        <v>14.86</v>
      </c>
      <c r="I145">
        <v>11.103</v>
      </c>
      <c r="J145">
        <v>1.9410000000000001</v>
      </c>
      <c r="K145">
        <v>5.2999999999999999E-2</v>
      </c>
      <c r="L145">
        <v>12.997999999999999</v>
      </c>
    </row>
    <row r="146" spans="1:23" x14ac:dyDescent="0.2">
      <c r="A146" t="s">
        <v>3</v>
      </c>
      <c r="B146">
        <v>0.01</v>
      </c>
      <c r="C146">
        <v>3.0000000000000001E-3</v>
      </c>
      <c r="D146">
        <v>8.8999999999999996E-2</v>
      </c>
      <c r="E146">
        <v>3.6999999999999998E-2</v>
      </c>
      <c r="F146">
        <v>0.109</v>
      </c>
      <c r="G146">
        <v>2.4729999999999999</v>
      </c>
      <c r="H146">
        <v>18.71</v>
      </c>
      <c r="I146">
        <v>6.3419999999999996</v>
      </c>
      <c r="J146">
        <v>1.3979999999999999</v>
      </c>
      <c r="K146">
        <v>0.1</v>
      </c>
      <c r="L146">
        <v>4.1920000000000002</v>
      </c>
    </row>
    <row r="147" spans="1:23" x14ac:dyDescent="0.2">
      <c r="A147" t="s">
        <v>4</v>
      </c>
      <c r="B147">
        <v>7.0000000000000001E-3</v>
      </c>
      <c r="C147">
        <v>0.59199999999999997</v>
      </c>
      <c r="D147">
        <v>0.13</v>
      </c>
      <c r="E147">
        <v>1.2999999999999999E-2</v>
      </c>
      <c r="F147">
        <v>7.6950000000000003</v>
      </c>
      <c r="G147">
        <v>0.80200000000000005</v>
      </c>
      <c r="H147">
        <v>4.3630000000000004</v>
      </c>
      <c r="I147">
        <v>20.030999999999999</v>
      </c>
      <c r="J147">
        <v>1.9430000000000001</v>
      </c>
      <c r="K147">
        <v>0.1</v>
      </c>
      <c r="L147">
        <v>0.36599999999999999</v>
      </c>
    </row>
    <row r="148" spans="1:23" x14ac:dyDescent="0.2">
      <c r="A148" t="s">
        <v>5</v>
      </c>
      <c r="B148">
        <v>7.0000000000000001E-3</v>
      </c>
      <c r="C148">
        <v>3.5000000000000003E-2</v>
      </c>
      <c r="D148">
        <v>8.7999999999999995E-2</v>
      </c>
      <c r="E148">
        <v>2.1999999999999999E-2</v>
      </c>
      <c r="F148">
        <v>1.665</v>
      </c>
      <c r="G148">
        <v>2.2629999999999999</v>
      </c>
      <c r="H148">
        <v>3.028</v>
      </c>
      <c r="I148">
        <v>2.11</v>
      </c>
      <c r="J148">
        <v>1.224</v>
      </c>
      <c r="K148">
        <v>5.1520000000000001</v>
      </c>
      <c r="L148">
        <v>13.48</v>
      </c>
    </row>
    <row r="149" spans="1:23" x14ac:dyDescent="0.2">
      <c r="A149" t="s">
        <v>6</v>
      </c>
      <c r="B149">
        <v>8.9999999999999993E-3</v>
      </c>
      <c r="C149">
        <v>0.16800000000000001</v>
      </c>
      <c r="D149">
        <v>2.7E-2</v>
      </c>
      <c r="E149">
        <v>6.0000000000000001E-3</v>
      </c>
      <c r="F149">
        <v>0.73</v>
      </c>
      <c r="G149">
        <v>1.01</v>
      </c>
      <c r="H149">
        <v>7.5410000000000004</v>
      </c>
      <c r="I149">
        <v>0.24199999999999999</v>
      </c>
      <c r="J149">
        <v>1.8280000000000001</v>
      </c>
      <c r="K149">
        <v>15.763999999999999</v>
      </c>
      <c r="L149">
        <v>23.484000000000002</v>
      </c>
    </row>
    <row r="150" spans="1:23" x14ac:dyDescent="0.2">
      <c r="A150" t="s">
        <v>7</v>
      </c>
      <c r="B150">
        <v>1.2999999999999999E-2</v>
      </c>
      <c r="C150">
        <v>1.9E-2</v>
      </c>
      <c r="D150">
        <v>0.13500000000000001</v>
      </c>
      <c r="E150">
        <v>5.3999999999999999E-2</v>
      </c>
      <c r="F150">
        <v>0.95799999999999996</v>
      </c>
      <c r="G150">
        <v>0.65300000000000002</v>
      </c>
      <c r="H150">
        <v>36.973999999999997</v>
      </c>
      <c r="I150">
        <v>0.122</v>
      </c>
      <c r="J150">
        <v>2.95</v>
      </c>
      <c r="K150">
        <v>0.19700000000000001</v>
      </c>
      <c r="L150">
        <v>1.3959999999999999</v>
      </c>
    </row>
    <row r="151" spans="1:23" x14ac:dyDescent="0.2">
      <c r="A151" t="s">
        <v>8</v>
      </c>
      <c r="B151">
        <v>8.0000000000000002E-3</v>
      </c>
      <c r="C151">
        <v>6.3E-2</v>
      </c>
      <c r="D151">
        <v>2.7E-2</v>
      </c>
      <c r="E151">
        <v>1.4E-2</v>
      </c>
      <c r="F151">
        <v>2.0070000000000001</v>
      </c>
      <c r="G151">
        <v>7.1999999999999995E-2</v>
      </c>
      <c r="H151">
        <v>16.835999999999999</v>
      </c>
      <c r="I151">
        <v>0.14599999999999999</v>
      </c>
      <c r="J151">
        <v>0.57999999999999996</v>
      </c>
      <c r="K151">
        <v>10.436999999999999</v>
      </c>
      <c r="L151">
        <v>6.38</v>
      </c>
    </row>
    <row r="152" spans="1:23" x14ac:dyDescent="0.2">
      <c r="A152" t="s">
        <v>9</v>
      </c>
      <c r="B152">
        <v>4.0000000000000001E-3</v>
      </c>
      <c r="C152">
        <v>0.42199999999999999</v>
      </c>
      <c r="D152">
        <v>0.40300000000000002</v>
      </c>
      <c r="E152">
        <v>0.02</v>
      </c>
      <c r="F152">
        <v>4.6900000000000004</v>
      </c>
      <c r="G152">
        <v>0.57899999999999996</v>
      </c>
      <c r="H152">
        <v>26.562000000000001</v>
      </c>
      <c r="I152">
        <v>6.2039999999999997</v>
      </c>
      <c r="J152">
        <v>1.917</v>
      </c>
      <c r="K152">
        <v>8.4000000000000005E-2</v>
      </c>
      <c r="L152">
        <v>3.177</v>
      </c>
    </row>
    <row r="153" spans="1:23" x14ac:dyDescent="0.2">
      <c r="A153" t="s">
        <v>10</v>
      </c>
      <c r="B153">
        <v>1.2E-2</v>
      </c>
      <c r="C153">
        <v>6.6000000000000003E-2</v>
      </c>
      <c r="D153">
        <v>2.8000000000000001E-2</v>
      </c>
      <c r="E153">
        <v>0.04</v>
      </c>
      <c r="F153">
        <v>1.5189999999999999</v>
      </c>
      <c r="G153">
        <v>7.0000000000000007E-2</v>
      </c>
      <c r="H153">
        <v>35.351999999999997</v>
      </c>
      <c r="I153">
        <v>5.1020000000000003</v>
      </c>
      <c r="J153">
        <v>2.5</v>
      </c>
      <c r="K153">
        <v>0.121</v>
      </c>
      <c r="L153">
        <v>0.91</v>
      </c>
    </row>
    <row r="154" spans="1:23" x14ac:dyDescent="0.2">
      <c r="A154" t="s">
        <v>107</v>
      </c>
      <c r="B154" s="1">
        <f>AVERAGE(B144:B153)</f>
        <v>8.3000000000000001E-3</v>
      </c>
      <c r="C154" s="1">
        <f t="shared" ref="C154:L154" si="8">AVERAGE(C144:C153)</f>
        <v>0.16029999999999997</v>
      </c>
      <c r="D154" s="1">
        <f t="shared" si="8"/>
        <v>0.11300000000000002</v>
      </c>
      <c r="E154" s="1">
        <f t="shared" si="8"/>
        <v>2.8099999999999997E-2</v>
      </c>
      <c r="F154" s="1">
        <f t="shared" si="8"/>
        <v>2.5569999999999999</v>
      </c>
      <c r="G154" s="1">
        <f t="shared" si="8"/>
        <v>0.87660000000000005</v>
      </c>
      <c r="H154" s="1">
        <f t="shared" si="8"/>
        <v>17.396899999999999</v>
      </c>
      <c r="I154" s="1">
        <f t="shared" si="8"/>
        <v>5.1480000000000006</v>
      </c>
      <c r="J154" s="1">
        <f t="shared" si="8"/>
        <v>1.7634999999999998</v>
      </c>
      <c r="K154" s="1">
        <f t="shared" si="8"/>
        <v>3.2120999999999995</v>
      </c>
      <c r="L154" s="1">
        <f t="shared" si="8"/>
        <v>6.9862000000000011</v>
      </c>
      <c r="P154" s="1"/>
    </row>
    <row r="159" spans="1:23" x14ac:dyDescent="0.2">
      <c r="B159" t="s">
        <v>85</v>
      </c>
      <c r="C159" t="s">
        <v>86</v>
      </c>
      <c r="D159" t="s">
        <v>87</v>
      </c>
      <c r="E159" t="s">
        <v>88</v>
      </c>
      <c r="F159" t="s">
        <v>89</v>
      </c>
      <c r="G159" t="s">
        <v>90</v>
      </c>
      <c r="H159" t="s">
        <v>91</v>
      </c>
      <c r="I159" t="s">
        <v>92</v>
      </c>
      <c r="J159" t="s">
        <v>93</v>
      </c>
      <c r="K159" t="s">
        <v>94</v>
      </c>
      <c r="L159" t="s">
        <v>95</v>
      </c>
      <c r="M159" t="s">
        <v>96</v>
      </c>
      <c r="N159" t="s">
        <v>97</v>
      </c>
      <c r="O159" t="s">
        <v>98</v>
      </c>
      <c r="P159" t="s">
        <v>99</v>
      </c>
      <c r="Q159" t="s">
        <v>100</v>
      </c>
      <c r="R159" t="s">
        <v>101</v>
      </c>
      <c r="S159" t="s">
        <v>102</v>
      </c>
      <c r="T159" t="s">
        <v>103</v>
      </c>
      <c r="U159" t="s">
        <v>104</v>
      </c>
      <c r="V159" t="s">
        <v>105</v>
      </c>
      <c r="W159" t="s">
        <v>106</v>
      </c>
    </row>
    <row r="160" spans="1:23" x14ac:dyDescent="0.2">
      <c r="B160" t="s">
        <v>11</v>
      </c>
      <c r="C160" t="s">
        <v>11</v>
      </c>
      <c r="D160" t="s">
        <v>11</v>
      </c>
      <c r="E160" t="s">
        <v>11</v>
      </c>
      <c r="F160" t="s">
        <v>11</v>
      </c>
      <c r="G160" t="s">
        <v>11</v>
      </c>
      <c r="H160" t="s">
        <v>11</v>
      </c>
      <c r="I160" t="s">
        <v>11</v>
      </c>
      <c r="J160" t="s">
        <v>11</v>
      </c>
      <c r="K160" t="s">
        <v>11</v>
      </c>
      <c r="L160" t="s">
        <v>11</v>
      </c>
      <c r="M160" t="s">
        <v>11</v>
      </c>
      <c r="N160" t="s">
        <v>11</v>
      </c>
      <c r="O160" t="s">
        <v>11</v>
      </c>
      <c r="P160" t="s">
        <v>11</v>
      </c>
      <c r="Q160" t="s">
        <v>11</v>
      </c>
      <c r="R160" t="s">
        <v>11</v>
      </c>
      <c r="S160" t="s">
        <v>11</v>
      </c>
      <c r="T160" t="s">
        <v>11</v>
      </c>
      <c r="U160" t="s">
        <v>11</v>
      </c>
      <c r="V160" t="s">
        <v>11</v>
      </c>
      <c r="W160" t="s">
        <v>11</v>
      </c>
    </row>
    <row r="161" spans="1:23" x14ac:dyDescent="0.2">
      <c r="A161" t="s">
        <v>1</v>
      </c>
      <c r="B161">
        <v>1830</v>
      </c>
      <c r="C161">
        <v>2271</v>
      </c>
      <c r="D161">
        <v>2846</v>
      </c>
      <c r="E161">
        <v>2103</v>
      </c>
      <c r="F161">
        <v>1960</v>
      </c>
      <c r="G161">
        <v>2329</v>
      </c>
      <c r="H161">
        <v>2123</v>
      </c>
      <c r="I161">
        <v>2295</v>
      </c>
      <c r="J161">
        <v>2386</v>
      </c>
      <c r="K161">
        <v>2057</v>
      </c>
      <c r="L161">
        <v>2261</v>
      </c>
      <c r="M161">
        <v>2953</v>
      </c>
      <c r="N161">
        <v>3133</v>
      </c>
      <c r="O161">
        <v>2573</v>
      </c>
      <c r="P161">
        <v>2358</v>
      </c>
      <c r="Q161">
        <v>3883</v>
      </c>
      <c r="R161">
        <v>4500</v>
      </c>
      <c r="S161">
        <v>4379</v>
      </c>
      <c r="T161">
        <v>2608</v>
      </c>
      <c r="U161">
        <v>4132</v>
      </c>
      <c r="V161">
        <v>2868</v>
      </c>
      <c r="W161">
        <v>4058</v>
      </c>
    </row>
    <row r="162" spans="1:23" x14ac:dyDescent="0.2">
      <c r="A162" t="s">
        <v>2</v>
      </c>
      <c r="B162">
        <v>1830</v>
      </c>
      <c r="C162">
        <v>2271</v>
      </c>
      <c r="D162">
        <v>2846</v>
      </c>
      <c r="E162">
        <v>2103</v>
      </c>
      <c r="F162">
        <v>1960</v>
      </c>
      <c r="G162">
        <v>2329</v>
      </c>
      <c r="H162">
        <v>2123</v>
      </c>
      <c r="I162">
        <v>2295</v>
      </c>
      <c r="J162">
        <v>2386</v>
      </c>
      <c r="K162">
        <v>2057</v>
      </c>
      <c r="L162">
        <v>2261</v>
      </c>
      <c r="M162">
        <v>2953</v>
      </c>
      <c r="N162">
        <v>3133</v>
      </c>
      <c r="O162">
        <v>2573</v>
      </c>
      <c r="P162">
        <v>2358</v>
      </c>
      <c r="Q162">
        <v>3883</v>
      </c>
      <c r="R162">
        <v>4500</v>
      </c>
      <c r="S162">
        <v>4379</v>
      </c>
      <c r="T162">
        <v>2608</v>
      </c>
      <c r="U162">
        <v>4123</v>
      </c>
      <c r="V162">
        <v>2868</v>
      </c>
      <c r="W162">
        <v>4058</v>
      </c>
    </row>
    <row r="163" spans="1:23" x14ac:dyDescent="0.2">
      <c r="A163" t="s">
        <v>3</v>
      </c>
      <c r="B163">
        <v>1830</v>
      </c>
      <c r="C163">
        <v>2271</v>
      </c>
      <c r="D163">
        <v>2846</v>
      </c>
      <c r="E163">
        <v>2103</v>
      </c>
      <c r="F163">
        <v>1960</v>
      </c>
      <c r="G163">
        <v>2329</v>
      </c>
      <c r="H163">
        <v>2123</v>
      </c>
      <c r="I163">
        <v>2295</v>
      </c>
      <c r="J163">
        <v>2386</v>
      </c>
      <c r="K163">
        <v>2057</v>
      </c>
      <c r="L163">
        <v>2261</v>
      </c>
      <c r="M163">
        <v>2953</v>
      </c>
      <c r="N163">
        <v>3133</v>
      </c>
      <c r="O163">
        <v>2573</v>
      </c>
      <c r="P163">
        <v>2358</v>
      </c>
      <c r="Q163">
        <v>3883</v>
      </c>
      <c r="R163">
        <v>4500</v>
      </c>
      <c r="S163">
        <v>4379</v>
      </c>
      <c r="T163">
        <v>2608</v>
      </c>
      <c r="U163">
        <v>4123</v>
      </c>
      <c r="V163">
        <v>2868</v>
      </c>
      <c r="W163">
        <v>4058</v>
      </c>
    </row>
    <row r="164" spans="1:23" x14ac:dyDescent="0.2">
      <c r="A164" t="s">
        <v>4</v>
      </c>
      <c r="B164">
        <v>1830</v>
      </c>
      <c r="C164">
        <v>2271</v>
      </c>
      <c r="D164">
        <v>2846</v>
      </c>
      <c r="E164">
        <v>2103</v>
      </c>
      <c r="F164">
        <v>1960</v>
      </c>
      <c r="G164">
        <v>2329</v>
      </c>
      <c r="H164">
        <v>2123</v>
      </c>
      <c r="I164">
        <v>2295</v>
      </c>
      <c r="J164">
        <v>2386</v>
      </c>
      <c r="K164">
        <v>2057</v>
      </c>
      <c r="L164">
        <v>2261</v>
      </c>
      <c r="M164">
        <v>2953</v>
      </c>
      <c r="N164">
        <v>3133</v>
      </c>
      <c r="O164">
        <v>2573</v>
      </c>
      <c r="P164">
        <v>2358</v>
      </c>
      <c r="Q164">
        <v>3883</v>
      </c>
      <c r="R164">
        <v>4500</v>
      </c>
      <c r="S164">
        <v>4379</v>
      </c>
      <c r="T164">
        <v>2608</v>
      </c>
      <c r="U164">
        <v>4132</v>
      </c>
      <c r="V164">
        <v>2868</v>
      </c>
      <c r="W164">
        <v>4058</v>
      </c>
    </row>
    <row r="165" spans="1:23" x14ac:dyDescent="0.2">
      <c r="A165" t="s">
        <v>5</v>
      </c>
      <c r="B165">
        <v>1830</v>
      </c>
      <c r="C165">
        <v>2271</v>
      </c>
      <c r="D165">
        <v>2846</v>
      </c>
      <c r="E165">
        <v>2103</v>
      </c>
      <c r="F165">
        <v>1960</v>
      </c>
      <c r="G165">
        <v>2329</v>
      </c>
      <c r="H165">
        <v>2123</v>
      </c>
      <c r="I165">
        <v>2296</v>
      </c>
      <c r="J165">
        <v>2386</v>
      </c>
      <c r="K165">
        <v>2057</v>
      </c>
      <c r="L165">
        <v>2261</v>
      </c>
      <c r="M165">
        <v>2953</v>
      </c>
      <c r="N165">
        <v>3133</v>
      </c>
      <c r="O165">
        <v>2573</v>
      </c>
      <c r="P165">
        <v>2358</v>
      </c>
      <c r="Q165">
        <v>3883</v>
      </c>
      <c r="R165">
        <v>4500</v>
      </c>
      <c r="S165">
        <v>4379</v>
      </c>
      <c r="T165">
        <v>2608</v>
      </c>
      <c r="U165">
        <v>4120</v>
      </c>
      <c r="V165">
        <v>2868</v>
      </c>
      <c r="W165">
        <v>4058</v>
      </c>
    </row>
    <row r="166" spans="1:23" x14ac:dyDescent="0.2">
      <c r="A166" t="s">
        <v>6</v>
      </c>
      <c r="B166">
        <v>1830</v>
      </c>
      <c r="C166">
        <v>2271</v>
      </c>
      <c r="D166">
        <v>2846</v>
      </c>
      <c r="E166">
        <v>2103</v>
      </c>
      <c r="F166">
        <v>1960</v>
      </c>
      <c r="G166">
        <v>2329</v>
      </c>
      <c r="H166">
        <v>2123</v>
      </c>
      <c r="I166">
        <v>2296</v>
      </c>
      <c r="J166">
        <v>2386</v>
      </c>
      <c r="K166">
        <v>2057</v>
      </c>
      <c r="L166">
        <v>2261</v>
      </c>
      <c r="M166">
        <v>2953</v>
      </c>
      <c r="N166">
        <v>3133</v>
      </c>
      <c r="O166">
        <v>2573</v>
      </c>
      <c r="P166">
        <v>2358</v>
      </c>
      <c r="Q166">
        <v>3883</v>
      </c>
      <c r="R166">
        <v>4500</v>
      </c>
      <c r="S166">
        <v>4379</v>
      </c>
      <c r="T166">
        <v>2608</v>
      </c>
      <c r="U166">
        <v>4120</v>
      </c>
      <c r="V166">
        <v>2868</v>
      </c>
      <c r="W166">
        <v>4058</v>
      </c>
    </row>
    <row r="167" spans="1:23" x14ac:dyDescent="0.2">
      <c r="A167" t="s">
        <v>7</v>
      </c>
      <c r="B167">
        <v>1830</v>
      </c>
      <c r="C167">
        <v>2271</v>
      </c>
      <c r="D167">
        <v>2846</v>
      </c>
      <c r="E167">
        <v>2103</v>
      </c>
      <c r="F167">
        <v>1960</v>
      </c>
      <c r="G167">
        <v>2329</v>
      </c>
      <c r="H167">
        <v>2123</v>
      </c>
      <c r="I167">
        <v>2295</v>
      </c>
      <c r="J167">
        <v>2386</v>
      </c>
      <c r="K167">
        <v>2057</v>
      </c>
      <c r="L167">
        <v>2261</v>
      </c>
      <c r="M167">
        <v>2953</v>
      </c>
      <c r="N167">
        <v>3133</v>
      </c>
      <c r="O167">
        <v>2573</v>
      </c>
      <c r="P167">
        <v>2358</v>
      </c>
      <c r="Q167">
        <v>3883</v>
      </c>
      <c r="R167">
        <v>4500</v>
      </c>
      <c r="S167">
        <v>4379</v>
      </c>
      <c r="T167">
        <v>2608</v>
      </c>
      <c r="U167">
        <v>4120</v>
      </c>
      <c r="V167">
        <v>2868</v>
      </c>
      <c r="W167">
        <v>4058</v>
      </c>
    </row>
    <row r="168" spans="1:23" x14ac:dyDescent="0.2">
      <c r="A168" t="s">
        <v>8</v>
      </c>
      <c r="B168">
        <v>1830</v>
      </c>
      <c r="C168">
        <v>2271</v>
      </c>
      <c r="D168">
        <v>2846</v>
      </c>
      <c r="E168">
        <v>2103</v>
      </c>
      <c r="F168">
        <v>1960</v>
      </c>
      <c r="G168">
        <v>2329</v>
      </c>
      <c r="H168">
        <v>2123</v>
      </c>
      <c r="I168">
        <v>2295</v>
      </c>
      <c r="J168">
        <v>2386</v>
      </c>
      <c r="K168">
        <v>2057</v>
      </c>
      <c r="L168">
        <v>2261</v>
      </c>
      <c r="M168">
        <v>2953</v>
      </c>
      <c r="N168">
        <v>3133</v>
      </c>
      <c r="O168">
        <v>2573</v>
      </c>
      <c r="P168">
        <v>2358</v>
      </c>
      <c r="Q168">
        <v>3883</v>
      </c>
      <c r="R168">
        <v>4500</v>
      </c>
      <c r="S168">
        <v>4379</v>
      </c>
      <c r="T168">
        <v>2608</v>
      </c>
      <c r="U168">
        <v>4132</v>
      </c>
      <c r="V168">
        <v>2868</v>
      </c>
      <c r="W168">
        <v>4058</v>
      </c>
    </row>
    <row r="169" spans="1:23" x14ac:dyDescent="0.2">
      <c r="A169" t="s">
        <v>9</v>
      </c>
      <c r="B169">
        <v>1830</v>
      </c>
      <c r="C169">
        <v>2271</v>
      </c>
      <c r="D169">
        <v>2846</v>
      </c>
      <c r="E169">
        <v>2103</v>
      </c>
      <c r="F169">
        <v>1960</v>
      </c>
      <c r="G169">
        <v>2329</v>
      </c>
      <c r="H169">
        <v>2123</v>
      </c>
      <c r="I169">
        <v>2295</v>
      </c>
      <c r="J169">
        <v>2386</v>
      </c>
      <c r="K169">
        <v>2057</v>
      </c>
      <c r="L169">
        <v>2261</v>
      </c>
      <c r="M169">
        <v>2953</v>
      </c>
      <c r="N169">
        <v>3133</v>
      </c>
      <c r="O169">
        <v>2573</v>
      </c>
      <c r="P169">
        <v>2358</v>
      </c>
      <c r="Q169">
        <v>3883</v>
      </c>
      <c r="R169">
        <v>4500</v>
      </c>
      <c r="S169">
        <v>4379</v>
      </c>
      <c r="T169">
        <v>2608</v>
      </c>
      <c r="U169">
        <v>4120</v>
      </c>
      <c r="V169">
        <v>2868</v>
      </c>
      <c r="W169">
        <v>4058</v>
      </c>
    </row>
    <row r="170" spans="1:23" x14ac:dyDescent="0.2">
      <c r="A170" t="s">
        <v>10</v>
      </c>
      <c r="B170">
        <v>1830</v>
      </c>
      <c r="C170">
        <v>2271</v>
      </c>
      <c r="D170">
        <v>2846</v>
      </c>
      <c r="E170">
        <v>2103</v>
      </c>
      <c r="F170">
        <v>1960</v>
      </c>
      <c r="G170">
        <v>2329</v>
      </c>
      <c r="H170">
        <v>2123</v>
      </c>
      <c r="I170">
        <v>2295</v>
      </c>
      <c r="J170">
        <v>2386</v>
      </c>
      <c r="K170">
        <v>2057</v>
      </c>
      <c r="L170">
        <v>2261</v>
      </c>
      <c r="M170">
        <v>2953</v>
      </c>
      <c r="N170">
        <v>3133</v>
      </c>
      <c r="O170">
        <v>2573</v>
      </c>
      <c r="P170">
        <v>2358</v>
      </c>
      <c r="Q170">
        <v>3883</v>
      </c>
      <c r="R170">
        <v>4500</v>
      </c>
      <c r="S170">
        <v>4379</v>
      </c>
      <c r="T170">
        <v>2608</v>
      </c>
      <c r="U170">
        <v>4132</v>
      </c>
      <c r="V170">
        <v>2868</v>
      </c>
      <c r="W170">
        <v>4058</v>
      </c>
    </row>
    <row r="171" spans="1:23" x14ac:dyDescent="0.2">
      <c r="A171" t="s">
        <v>107</v>
      </c>
      <c r="B171">
        <f>AVERAGE(B161:B170)</f>
        <v>1830</v>
      </c>
      <c r="C171">
        <f t="shared" ref="C171:W171" si="9">AVERAGE(C161:C170)</f>
        <v>2271</v>
      </c>
      <c r="D171">
        <f t="shared" si="9"/>
        <v>2846</v>
      </c>
      <c r="E171">
        <f t="shared" si="9"/>
        <v>2103</v>
      </c>
      <c r="F171">
        <f t="shared" si="9"/>
        <v>1960</v>
      </c>
      <c r="G171">
        <f t="shared" si="9"/>
        <v>2329</v>
      </c>
      <c r="H171">
        <f t="shared" si="9"/>
        <v>2123</v>
      </c>
      <c r="I171">
        <f t="shared" si="9"/>
        <v>2295.1999999999998</v>
      </c>
      <c r="J171">
        <f t="shared" si="9"/>
        <v>2386</v>
      </c>
      <c r="K171">
        <f t="shared" si="9"/>
        <v>2057</v>
      </c>
      <c r="L171">
        <f t="shared" si="9"/>
        <v>2261</v>
      </c>
      <c r="M171">
        <f t="shared" si="9"/>
        <v>2953</v>
      </c>
      <c r="N171">
        <f t="shared" si="9"/>
        <v>3133</v>
      </c>
      <c r="O171">
        <f t="shared" si="9"/>
        <v>2573</v>
      </c>
      <c r="P171">
        <f t="shared" si="9"/>
        <v>2358</v>
      </c>
      <c r="Q171">
        <f t="shared" si="9"/>
        <v>3883</v>
      </c>
      <c r="R171">
        <f t="shared" si="9"/>
        <v>4500</v>
      </c>
      <c r="S171">
        <f t="shared" si="9"/>
        <v>4379</v>
      </c>
      <c r="T171">
        <f t="shared" si="9"/>
        <v>2608</v>
      </c>
      <c r="U171">
        <f t="shared" si="9"/>
        <v>4125.3999999999996</v>
      </c>
      <c r="V171">
        <f t="shared" si="9"/>
        <v>2868</v>
      </c>
      <c r="W171">
        <f t="shared" si="9"/>
        <v>4058</v>
      </c>
    </row>
    <row r="175" spans="1:23" x14ac:dyDescent="0.2">
      <c r="B175" t="s">
        <v>85</v>
      </c>
      <c r="C175" t="s">
        <v>86</v>
      </c>
      <c r="D175" t="s">
        <v>87</v>
      </c>
      <c r="E175" t="s">
        <v>88</v>
      </c>
      <c r="F175" t="s">
        <v>89</v>
      </c>
      <c r="G175" t="s">
        <v>90</v>
      </c>
      <c r="H175" t="s">
        <v>91</v>
      </c>
      <c r="I175" t="s">
        <v>92</v>
      </c>
      <c r="J175" t="s">
        <v>93</v>
      </c>
      <c r="K175" t="s">
        <v>94</v>
      </c>
      <c r="L175" t="s">
        <v>95</v>
      </c>
      <c r="M175" t="s">
        <v>96</v>
      </c>
      <c r="N175" t="s">
        <v>97</v>
      </c>
      <c r="O175" t="s">
        <v>98</v>
      </c>
      <c r="P175" t="s">
        <v>99</v>
      </c>
      <c r="Q175" t="s">
        <v>100</v>
      </c>
      <c r="R175" t="s">
        <v>101</v>
      </c>
      <c r="S175" t="s">
        <v>102</v>
      </c>
      <c r="T175" t="s">
        <v>103</v>
      </c>
      <c r="U175" t="s">
        <v>104</v>
      </c>
      <c r="V175" t="s">
        <v>105</v>
      </c>
      <c r="W175" t="s">
        <v>106</v>
      </c>
    </row>
    <row r="176" spans="1:23" x14ac:dyDescent="0.2"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</row>
    <row r="177" spans="1:24" x14ac:dyDescent="0.2">
      <c r="A177" t="s">
        <v>1</v>
      </c>
      <c r="B177">
        <v>0.05</v>
      </c>
      <c r="C177">
        <v>0.1</v>
      </c>
      <c r="D177">
        <v>7.3999999999999996E-2</v>
      </c>
      <c r="E177">
        <v>5.0000000000000001E-3</v>
      </c>
      <c r="F177">
        <v>1.4E-2</v>
      </c>
      <c r="G177">
        <v>4.1000000000000002E-2</v>
      </c>
      <c r="H177">
        <v>0.05</v>
      </c>
      <c r="I177">
        <v>0.68500000000000005</v>
      </c>
      <c r="J177">
        <v>5.8999999999999997E-2</v>
      </c>
      <c r="K177">
        <v>12.885999999999999</v>
      </c>
      <c r="L177">
        <v>8.1000000000000003E-2</v>
      </c>
      <c r="M177">
        <v>0.17799999999999999</v>
      </c>
      <c r="N177">
        <v>1.849</v>
      </c>
      <c r="O177">
        <v>9.1999999999999998E-2</v>
      </c>
      <c r="P177">
        <v>4.3999999999999997E-2</v>
      </c>
      <c r="Q177">
        <v>4.88</v>
      </c>
      <c r="R177">
        <v>0.121</v>
      </c>
      <c r="S177">
        <v>2.6190000000000002</v>
      </c>
      <c r="T177">
        <v>0.191</v>
      </c>
      <c r="U177">
        <v>14.791</v>
      </c>
      <c r="V177">
        <v>0.11799999999999999</v>
      </c>
      <c r="W177">
        <v>1.7969999999999999</v>
      </c>
    </row>
    <row r="178" spans="1:24" x14ac:dyDescent="0.2">
      <c r="A178" t="s">
        <v>2</v>
      </c>
      <c r="B178">
        <v>2.1000000000000001E-2</v>
      </c>
      <c r="C178">
        <v>8.9999999999999993E-3</v>
      </c>
      <c r="D178">
        <v>1.2E-2</v>
      </c>
      <c r="E178">
        <v>8.0000000000000002E-3</v>
      </c>
      <c r="F178">
        <v>1.9E-2</v>
      </c>
      <c r="G178">
        <v>4.2999999999999997E-2</v>
      </c>
      <c r="H178">
        <v>4.1000000000000002E-2</v>
      </c>
      <c r="I178">
        <v>0.34499999999999997</v>
      </c>
      <c r="J178">
        <v>6.6000000000000003E-2</v>
      </c>
      <c r="K178">
        <v>9.7379999999999995</v>
      </c>
      <c r="L178">
        <v>0.16</v>
      </c>
      <c r="M178">
        <v>0.19800000000000001</v>
      </c>
      <c r="N178">
        <v>1.4570000000000001</v>
      </c>
      <c r="O178">
        <v>17.699000000000002</v>
      </c>
      <c r="P178">
        <v>2.5999999999999999E-2</v>
      </c>
      <c r="Q178">
        <v>0.11600000000000001</v>
      </c>
      <c r="R178">
        <v>0.104</v>
      </c>
      <c r="S178">
        <v>4.766</v>
      </c>
      <c r="T178">
        <v>0.123</v>
      </c>
      <c r="U178">
        <v>5.8449999999999998</v>
      </c>
      <c r="V178">
        <v>0.16200000000000001</v>
      </c>
      <c r="W178">
        <v>4.9820000000000002</v>
      </c>
    </row>
    <row r="179" spans="1:24" x14ac:dyDescent="0.2">
      <c r="A179" t="s">
        <v>3</v>
      </c>
      <c r="B179">
        <v>0.39800000000000002</v>
      </c>
      <c r="C179">
        <v>5.3999999999999999E-2</v>
      </c>
      <c r="D179">
        <v>8.9999999999999993E-3</v>
      </c>
      <c r="E179">
        <v>8.0000000000000002E-3</v>
      </c>
      <c r="F179">
        <v>1.4999999999999999E-2</v>
      </c>
      <c r="G179">
        <v>8.5999999999999993E-2</v>
      </c>
      <c r="H179">
        <v>2.8000000000000001E-2</v>
      </c>
      <c r="I179">
        <v>1.528</v>
      </c>
      <c r="J179">
        <v>0.107</v>
      </c>
      <c r="K179">
        <v>26.184000000000001</v>
      </c>
      <c r="L179">
        <v>4.4999999999999998E-2</v>
      </c>
      <c r="M179">
        <v>9.9000000000000005E-2</v>
      </c>
      <c r="N179">
        <v>1.347</v>
      </c>
      <c r="O179">
        <v>14.621</v>
      </c>
      <c r="P179">
        <v>2.4E-2</v>
      </c>
      <c r="Q179">
        <v>1.4590000000000001</v>
      </c>
      <c r="R179">
        <v>0.09</v>
      </c>
      <c r="S179">
        <v>0.441</v>
      </c>
      <c r="T179">
        <v>0.16300000000000001</v>
      </c>
      <c r="U179">
        <v>6.9960000000000004</v>
      </c>
      <c r="V179">
        <v>0.107</v>
      </c>
      <c r="W179">
        <v>1.105</v>
      </c>
    </row>
    <row r="180" spans="1:24" x14ac:dyDescent="0.2">
      <c r="A180" t="s">
        <v>4</v>
      </c>
      <c r="B180">
        <v>7.0999999999999994E-2</v>
      </c>
      <c r="C180">
        <v>4.2999999999999997E-2</v>
      </c>
      <c r="D180">
        <v>1.2999999999999999E-2</v>
      </c>
      <c r="E180">
        <v>0.01</v>
      </c>
      <c r="F180">
        <v>1.4E-2</v>
      </c>
      <c r="G180">
        <v>4.3999999999999997E-2</v>
      </c>
      <c r="H180">
        <v>1.9E-2</v>
      </c>
      <c r="I180">
        <v>2.899</v>
      </c>
      <c r="J180">
        <v>7.3999999999999996E-2</v>
      </c>
      <c r="K180">
        <v>20.963999999999999</v>
      </c>
      <c r="L180">
        <v>5.1999999999999998E-2</v>
      </c>
      <c r="M180">
        <v>0.105</v>
      </c>
      <c r="N180">
        <v>0.60699999999999998</v>
      </c>
      <c r="O180">
        <v>9.7000000000000003E-2</v>
      </c>
      <c r="P180">
        <v>3.1E-2</v>
      </c>
      <c r="Q180">
        <v>3.032</v>
      </c>
      <c r="R180">
        <v>9.0999999999999998E-2</v>
      </c>
      <c r="S180">
        <v>2.3650000000000002</v>
      </c>
      <c r="T180">
        <v>4.0250000000000004</v>
      </c>
      <c r="U180">
        <v>9.8000000000000007</v>
      </c>
      <c r="V180">
        <v>4.5999999999999999E-2</v>
      </c>
      <c r="W180">
        <v>0.14699999999999999</v>
      </c>
    </row>
    <row r="181" spans="1:24" x14ac:dyDescent="0.2">
      <c r="A181" t="s">
        <v>5</v>
      </c>
      <c r="B181">
        <v>0.104</v>
      </c>
      <c r="C181">
        <v>3.2000000000000001E-2</v>
      </c>
      <c r="D181">
        <v>2.5000000000000001E-2</v>
      </c>
      <c r="E181">
        <v>4.0000000000000001E-3</v>
      </c>
      <c r="F181">
        <v>3.3000000000000002E-2</v>
      </c>
      <c r="G181">
        <v>7.0000000000000007E-2</v>
      </c>
      <c r="H181">
        <v>0.02</v>
      </c>
      <c r="I181">
        <v>2.9000000000000001E-2</v>
      </c>
      <c r="J181">
        <v>5.6000000000000001E-2</v>
      </c>
      <c r="K181">
        <v>16.018000000000001</v>
      </c>
      <c r="L181">
        <v>3.5000000000000003E-2</v>
      </c>
      <c r="M181">
        <v>0.03</v>
      </c>
      <c r="N181">
        <v>3.407</v>
      </c>
      <c r="O181">
        <v>8.1340000000000003</v>
      </c>
      <c r="P181">
        <v>0.23</v>
      </c>
      <c r="Q181">
        <v>5.6219999999999999</v>
      </c>
      <c r="R181">
        <v>0.107</v>
      </c>
      <c r="S181">
        <v>0.121</v>
      </c>
      <c r="T181">
        <v>3.2930000000000001</v>
      </c>
      <c r="U181">
        <v>42.442999999999998</v>
      </c>
      <c r="V181">
        <v>0.11700000000000001</v>
      </c>
      <c r="W181">
        <v>0.126</v>
      </c>
    </row>
    <row r="182" spans="1:24" x14ac:dyDescent="0.2">
      <c r="A182" t="s">
        <v>6</v>
      </c>
      <c r="B182">
        <v>6.5000000000000002E-2</v>
      </c>
      <c r="C182">
        <v>3.5000000000000003E-2</v>
      </c>
      <c r="D182">
        <v>2.4E-2</v>
      </c>
      <c r="E182">
        <v>1.2999999999999999E-2</v>
      </c>
      <c r="F182">
        <v>1.7999999999999999E-2</v>
      </c>
      <c r="G182">
        <v>5.0999999999999997E-2</v>
      </c>
      <c r="H182">
        <v>3.7999999999999999E-2</v>
      </c>
      <c r="I182">
        <v>6.6000000000000003E-2</v>
      </c>
      <c r="J182">
        <v>3.9E-2</v>
      </c>
      <c r="K182">
        <v>20.013999999999999</v>
      </c>
      <c r="L182">
        <v>5.3999999999999999E-2</v>
      </c>
      <c r="M182">
        <v>0.45700000000000002</v>
      </c>
      <c r="N182">
        <v>1.61</v>
      </c>
      <c r="O182">
        <v>1.7210000000000001</v>
      </c>
      <c r="P182">
        <v>3.6999999999999998E-2</v>
      </c>
      <c r="Q182">
        <v>1.5149999999999999</v>
      </c>
      <c r="R182">
        <v>0.121</v>
      </c>
      <c r="S182">
        <v>0.61599999999999999</v>
      </c>
      <c r="T182">
        <v>0.34499999999999997</v>
      </c>
      <c r="U182">
        <v>20.535</v>
      </c>
      <c r="V182">
        <v>0.156</v>
      </c>
      <c r="W182">
        <v>2.8969999999999998</v>
      </c>
    </row>
    <row r="183" spans="1:24" x14ac:dyDescent="0.2">
      <c r="A183" t="s">
        <v>7</v>
      </c>
      <c r="B183">
        <v>0.28499999999999998</v>
      </c>
      <c r="C183">
        <v>0.106</v>
      </c>
      <c r="D183">
        <v>2.4E-2</v>
      </c>
      <c r="E183">
        <v>1.6E-2</v>
      </c>
      <c r="F183">
        <v>1.4999999999999999E-2</v>
      </c>
      <c r="G183">
        <v>4.7E-2</v>
      </c>
      <c r="H183">
        <v>3.4000000000000002E-2</v>
      </c>
      <c r="I183">
        <v>0.13700000000000001</v>
      </c>
      <c r="J183">
        <v>4.8000000000000001E-2</v>
      </c>
      <c r="K183">
        <v>6.8650000000000002</v>
      </c>
      <c r="L183">
        <v>0.123</v>
      </c>
      <c r="M183">
        <v>4.4999999999999998E-2</v>
      </c>
      <c r="N183">
        <v>9.6000000000000002E-2</v>
      </c>
      <c r="O183">
        <v>1.4630000000000001</v>
      </c>
      <c r="P183">
        <v>0.61</v>
      </c>
      <c r="Q183">
        <v>4.468</v>
      </c>
      <c r="R183">
        <v>8.8999999999999996E-2</v>
      </c>
      <c r="S183">
        <v>8.8999999999999996E-2</v>
      </c>
      <c r="T183">
        <v>10.236000000000001</v>
      </c>
      <c r="U183">
        <v>39.357999999999997</v>
      </c>
      <c r="V183">
        <v>5.6000000000000001E-2</v>
      </c>
      <c r="W183">
        <v>0.126</v>
      </c>
    </row>
    <row r="184" spans="1:24" x14ac:dyDescent="0.2">
      <c r="A184" t="s">
        <v>8</v>
      </c>
      <c r="B184">
        <v>7.0000000000000001E-3</v>
      </c>
      <c r="C184">
        <v>0.32600000000000001</v>
      </c>
      <c r="D184">
        <v>3.4000000000000002E-2</v>
      </c>
      <c r="E184">
        <v>2.3E-2</v>
      </c>
      <c r="F184">
        <v>6.8000000000000005E-2</v>
      </c>
      <c r="G184">
        <v>5.0999999999999997E-2</v>
      </c>
      <c r="H184">
        <v>5.8999999999999997E-2</v>
      </c>
      <c r="I184">
        <v>0.189</v>
      </c>
      <c r="J184">
        <v>3.7999999999999999E-2</v>
      </c>
      <c r="K184">
        <v>44.569000000000003</v>
      </c>
      <c r="L184">
        <v>0.155</v>
      </c>
      <c r="M184">
        <v>4.5999999999999999E-2</v>
      </c>
      <c r="N184">
        <v>2.8650000000000002</v>
      </c>
      <c r="O184">
        <v>7.0000000000000007E-2</v>
      </c>
      <c r="P184">
        <v>2.3E-2</v>
      </c>
      <c r="Q184">
        <v>1.2969999999999999</v>
      </c>
      <c r="R184">
        <v>0.09</v>
      </c>
      <c r="S184">
        <v>0.16800000000000001</v>
      </c>
      <c r="T184">
        <v>7.3929999999999998</v>
      </c>
      <c r="U184">
        <v>9.6969999999999992</v>
      </c>
      <c r="V184">
        <v>0.14699999999999999</v>
      </c>
      <c r="W184">
        <v>1.2230000000000001</v>
      </c>
    </row>
    <row r="185" spans="1:24" x14ac:dyDescent="0.2">
      <c r="A185" t="s">
        <v>9</v>
      </c>
      <c r="B185">
        <v>8.8999999999999996E-2</v>
      </c>
      <c r="C185">
        <v>5.3999999999999999E-2</v>
      </c>
      <c r="D185">
        <v>2.8000000000000001E-2</v>
      </c>
      <c r="E185">
        <v>0.01</v>
      </c>
      <c r="F185">
        <v>2.7E-2</v>
      </c>
      <c r="G185">
        <v>3.6999999999999998E-2</v>
      </c>
      <c r="H185">
        <v>4.3999999999999997E-2</v>
      </c>
      <c r="I185">
        <v>2.1349999999999998</v>
      </c>
      <c r="J185">
        <v>5.2999999999999999E-2</v>
      </c>
      <c r="K185">
        <v>26.555</v>
      </c>
      <c r="L185">
        <v>0.192</v>
      </c>
      <c r="M185">
        <v>0.44900000000000001</v>
      </c>
      <c r="N185">
        <v>1.4419999999999999</v>
      </c>
      <c r="O185">
        <v>7.9000000000000001E-2</v>
      </c>
      <c r="P185">
        <v>0.33400000000000002</v>
      </c>
      <c r="Q185">
        <v>2.0049999999999999</v>
      </c>
      <c r="R185">
        <v>9.7000000000000003E-2</v>
      </c>
      <c r="S185">
        <v>0.14000000000000001</v>
      </c>
      <c r="T185">
        <v>0.11700000000000001</v>
      </c>
      <c r="U185">
        <v>2.9609999999999999</v>
      </c>
      <c r="V185">
        <v>6.5000000000000002E-2</v>
      </c>
      <c r="W185">
        <v>0.48599999999999999</v>
      </c>
    </row>
    <row r="186" spans="1:24" x14ac:dyDescent="0.2">
      <c r="A186" t="s">
        <v>10</v>
      </c>
      <c r="B186">
        <v>9.5000000000000001E-2</v>
      </c>
      <c r="C186">
        <v>7.0000000000000007E-2</v>
      </c>
      <c r="D186">
        <v>1.7999999999999999E-2</v>
      </c>
      <c r="E186">
        <v>1.4E-2</v>
      </c>
      <c r="F186">
        <v>5.2999999999999999E-2</v>
      </c>
      <c r="G186">
        <v>5.5E-2</v>
      </c>
      <c r="H186">
        <v>4.3999999999999997E-2</v>
      </c>
      <c r="I186">
        <v>0.83399999999999996</v>
      </c>
      <c r="J186">
        <v>3.9E-2</v>
      </c>
      <c r="K186">
        <v>0.95899999999999996</v>
      </c>
      <c r="L186">
        <v>8.2000000000000003E-2</v>
      </c>
      <c r="M186">
        <v>0.72099999999999997</v>
      </c>
      <c r="N186">
        <v>3.3959999999999999</v>
      </c>
      <c r="O186">
        <v>0.104</v>
      </c>
      <c r="P186">
        <v>3.2000000000000001E-2</v>
      </c>
      <c r="Q186">
        <v>3.1709999999999998</v>
      </c>
      <c r="R186">
        <v>0.104</v>
      </c>
      <c r="S186">
        <v>1.6559999999999999</v>
      </c>
      <c r="T186">
        <v>0.79100000000000004</v>
      </c>
      <c r="U186">
        <v>0.69899999999999995</v>
      </c>
      <c r="V186">
        <v>0.113</v>
      </c>
      <c r="W186">
        <v>0.11899999999999999</v>
      </c>
    </row>
    <row r="187" spans="1:24" x14ac:dyDescent="0.2">
      <c r="A187" t="s">
        <v>107</v>
      </c>
      <c r="B187" s="1">
        <f>AVERAGE(B177:B186)</f>
        <v>0.11849999999999998</v>
      </c>
      <c r="C187" s="1">
        <f t="shared" ref="C187:W187" si="10">AVERAGE(C177:C186)</f>
        <v>8.2900000000000015E-2</v>
      </c>
      <c r="D187" s="1">
        <f t="shared" si="10"/>
        <v>2.6099999999999995E-2</v>
      </c>
      <c r="E187" s="1">
        <f t="shared" si="10"/>
        <v>1.1099999999999999E-2</v>
      </c>
      <c r="F187" s="1">
        <f t="shared" si="10"/>
        <v>2.7600000000000003E-2</v>
      </c>
      <c r="G187" s="1">
        <f t="shared" si="10"/>
        <v>5.2499999999999991E-2</v>
      </c>
      <c r="H187" s="1">
        <f t="shared" si="10"/>
        <v>3.7699999999999997E-2</v>
      </c>
      <c r="I187" s="1">
        <f t="shared" si="10"/>
        <v>0.88469999999999993</v>
      </c>
      <c r="J187" s="1">
        <f t="shared" si="10"/>
        <v>5.7899999999999993E-2</v>
      </c>
      <c r="K187" s="1">
        <f t="shared" si="10"/>
        <v>18.475200000000001</v>
      </c>
      <c r="L187" s="1">
        <f t="shared" si="10"/>
        <v>9.7900000000000001E-2</v>
      </c>
      <c r="M187" s="1">
        <f t="shared" si="10"/>
        <v>0.23279999999999998</v>
      </c>
      <c r="N187" s="1">
        <f t="shared" si="10"/>
        <v>1.8076000000000001</v>
      </c>
      <c r="O187" s="1">
        <f t="shared" si="10"/>
        <v>4.4080000000000004</v>
      </c>
      <c r="P187" s="1">
        <f t="shared" si="10"/>
        <v>0.1391</v>
      </c>
      <c r="Q187" s="1">
        <f t="shared" si="10"/>
        <v>2.7565</v>
      </c>
      <c r="R187" s="1">
        <f t="shared" si="10"/>
        <v>0.10139999999999998</v>
      </c>
      <c r="S187" s="1">
        <f t="shared" si="10"/>
        <v>1.2981</v>
      </c>
      <c r="T187" s="1">
        <f t="shared" si="10"/>
        <v>2.6677000000000004</v>
      </c>
      <c r="U187" s="1">
        <f t="shared" si="10"/>
        <v>15.312500000000004</v>
      </c>
      <c r="V187" s="1">
        <f t="shared" si="10"/>
        <v>0.10870000000000002</v>
      </c>
      <c r="W187" s="1">
        <f t="shared" si="10"/>
        <v>1.3008000000000002</v>
      </c>
      <c r="X187" s="1">
        <f>AVERAGE(B187:W187)</f>
        <v>2.2729681818181824</v>
      </c>
    </row>
    <row r="199" spans="3:21" x14ac:dyDescent="0.2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3:21" x14ac:dyDescent="0.2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3:21" x14ac:dyDescent="0.2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3:21" x14ac:dyDescent="0.2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3:21" x14ac:dyDescent="0.2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3:21" x14ac:dyDescent="0.2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3:21" x14ac:dyDescent="0.2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20" spans="1:6" x14ac:dyDescent="0.2">
      <c r="A220" s="2"/>
      <c r="F220" s="3"/>
    </row>
  </sheetData>
  <mergeCells count="13">
    <mergeCell ref="B1:C1"/>
    <mergeCell ref="D1:E1"/>
    <mergeCell ref="F1:G1"/>
    <mergeCell ref="F22:G22"/>
    <mergeCell ref="H22:I22"/>
    <mergeCell ref="J22:K22"/>
    <mergeCell ref="L22:M22"/>
    <mergeCell ref="N22:O22"/>
    <mergeCell ref="B22:C22"/>
    <mergeCell ref="B107:C107"/>
    <mergeCell ref="D107:E107"/>
    <mergeCell ref="F107:G107"/>
    <mergeCell ref="D22:E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杰 魏</cp:lastModifiedBy>
  <dcterms:created xsi:type="dcterms:W3CDTF">2015-06-05T18:19:34Z</dcterms:created>
  <dcterms:modified xsi:type="dcterms:W3CDTF">2026-07-03T03:13:34Z</dcterms:modified>
</cp:coreProperties>
</file>